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ink Report" sheetId="1" state="visible" r:id="rId3"/>
    <sheet name="Summary" sheetId="2" state="visible" r:id="rId4"/>
  </sheets>
  <definedNames>
    <definedName function="false" hidden="true" localSheetId="0" name="_xlnm._FilterDatabase" vbProcedure="false">'Backlink Report'!$A$8:$H$18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<sst xmlns="http://schemas.openxmlformats.org/spreadsheetml/2006/main" count="100" uniqueCount="63">
  <si>
    <t xml:space="preserve">Backlink Quality Report</t>
  </si>
  <si>
    <t xml:space="preserve">Review of anchor text, rel attribute and value for each published article link</t>
  </si>
  <si>
    <t xml:space="preserve">Total Links</t>
  </si>
  <si>
    <t xml:space="preserve">Valuable Links</t>
  </si>
  <si>
    <t xml:space="preserve">Nofollow Links</t>
  </si>
  <si>
    <t xml:space="preserve">Articles</t>
  </si>
  <si>
    <t xml:space="preserve">Colour key:</t>
  </si>
  <si>
    <t xml:space="preserve">Green = valuable / dofollow</t>
  </si>
  <si>
    <t xml:space="preserve">Amber = nofollow</t>
  </si>
  <si>
    <t xml:space="preserve">Red = not valuable</t>
  </si>
  <si>
    <t xml:space="preserve">#</t>
  </si>
  <si>
    <t xml:space="preserve">Anchor Text</t>
  </si>
  <si>
    <t xml:space="preserve">Article Title</t>
  </si>
  <si>
    <t xml:space="preserve">Anchor Type</t>
  </si>
  <si>
    <t xml:space="preserve">Rel Attribute</t>
  </si>
  <si>
    <t xml:space="preserve">Valuable?</t>
  </si>
  <si>
    <t xml:space="preserve">Reason</t>
  </si>
  <si>
    <t xml:space="preserve">Article URL</t>
  </si>
  <si>
    <t xml:space="preserve">Bridging Online and Offline: The Omnichannel Approach</t>
  </si>
  <si>
    <t xml:space="preserve">Accelerating Omnichannel Growth with Digital Marketing Strategies</t>
  </si>
  <si>
    <t xml:space="preserve">Branded</t>
  </si>
  <si>
    <t xml:space="preserve">No follow</t>
  </si>
  <si>
    <t xml:space="preserve">Yes</t>
  </si>
  <si>
    <t xml:space="preserve">Relevant branded link to the website, so it can provide referral traffic and brand visibility; its SEO value depends on the rel attribute.</t>
  </si>
  <si>
    <t xml:space="preserve">https://medium.com/daiom/accelerating-omnichannel-growth-with-digital-marketing-strategies-75bf0b7fdf94</t>
  </si>
  <si>
    <t xml:space="preserve">Driving Business Impact through Social Media Marketing.</t>
  </si>
  <si>
    <t xml:space="preserve">The link is relevant to the article's topic and can provide referral traffic and brand visibility, although its direct SEO value depends on the link's rel attribute.</t>
  </si>
  <si>
    <t xml:space="preserve">doTerraHD Clear Essential Oil Topical Blend</t>
  </si>
  <si>
    <t xml:space="preserve">One of The Best Skincare Products I own</t>
  </si>
  <si>
    <t xml:space="preserve">Amazon</t>
  </si>
  <si>
    <t xml:space="preserve">The link is highly relevant to the skincare/product topic and can provide referral traffic and product visibility.</t>
  </si>
  <si>
    <t xml:space="preserve">https://medium.com/tiara-cake/one-of-the-best-working-skincare-care-products-i-own-7e6849682ae0</t>
  </si>
  <si>
    <t xml:space="preserve">doTerra Essential Oils</t>
  </si>
  <si>
    <t xml:space="preserve">doTERRA</t>
  </si>
  <si>
    <t xml:space="preserve">The anchor text is descriptive and directly relevant to the product being discussed, providing useful contextual relevance and referral traffic</t>
  </si>
  <si>
    <t xml:space="preserve">bitcoin quotes by famous people</t>
  </si>
  <si>
    <t xml:space="preserve">50+ NFT Quotes That Will Motivate You Toward NFT’S — Quote Poetry</t>
  </si>
  <si>
    <t xml:space="preserve">Quote Poetry</t>
  </si>
  <si>
    <t xml:space="preserve">The link is contextually relevant to cryptocurrency content and can provide topical relevance and referral traffic.</t>
  </si>
  <si>
    <t xml:space="preserve">https://medium.com/@quoting/50-nft-quotes-that-will-motivate-you-toward-nfts-quote-poetry-8e146a2a6e90</t>
  </si>
  <si>
    <t xml:space="preserve">NFT</t>
  </si>
  <si>
    <t xml:space="preserve">The anchor is directly relevant to the article's NFT topic and can provide contextual relevance and referral traffic.</t>
  </si>
  <si>
    <t xml:space="preserve">online Indian magazine</t>
  </si>
  <si>
    <t xml:space="preserve">Finding the Top Indian News Portals Australia</t>
  </si>
  <si>
    <t xml:space="preserve">Indus age</t>
  </si>
  <si>
    <t xml:space="preserve">The anchor is relevant to Indian online media and can provide contextual relevance and referral traffic.</t>
  </si>
  <si>
    <t xml:space="preserve">https://medium.com/@indusage/finding-the-top-indian-news-portals-australia-e18249089081</t>
  </si>
  <si>
    <t xml:space="preserve">top Indian news portals in Australia</t>
  </si>
  <si>
    <t xml:space="preserve">The anchor closely matches the article topic and provides strong contextual relevance for the destination page.</t>
  </si>
  <si>
    <t xml:space="preserve">AI Smart Tools</t>
  </si>
  <si>
    <t xml:space="preserve">Best AI Tools for Content Creation in 2026: Write, Design &amp; Work Smarter</t>
  </si>
  <si>
    <t xml:space="preserve">The link is highly relevant to the article's AI-tools topic and can provide contextual relevance and referral traffic.</t>
  </si>
  <si>
    <t xml:space="preserve">https://medium.com/@linajulie/best-ai-tools-for-content-creation-in-2026-write-design-work-smarter-173c82166fa8</t>
  </si>
  <si>
    <t xml:space="preserve">AI Smart Chat</t>
  </si>
  <si>
    <t xml:space="preserve">SmartChat AI</t>
  </si>
  <si>
    <t xml:space="preserve">The link is directly relevant to AI productivity and content creation, providing contextual relevance and potential referral traffic</t>
  </si>
  <si>
    <t xml:space="preserve">Links by Article</t>
  </si>
  <si>
    <t xml:space="preserve">Article</t>
  </si>
  <si>
    <t xml:space="preserve">Links</t>
  </si>
  <si>
    <t xml:space="preserve">Valuable</t>
  </si>
  <si>
    <t xml:space="preserve">Nofollow</t>
  </si>
  <si>
    <t xml:space="preserve">Valuable %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</si>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</sst>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22"/>
      <color rgb="FF7030A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F2F2F2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78787"/>
      <rgbColor rgb="FF9999FF"/>
      <rgbColor rgb="FF7030A0"/>
      <rgbColor rgb="FFF9F9F9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Links per article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Links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Accelerating Omnichannel Growth with Digital Marketing Strategies</c:v>
                </c:pt>
                <c:pt idx="1">
                  <c:v>One of The Best Skincare Products I own</c:v>
                </c:pt>
                <c:pt idx="2">
                  <c:v>50+ NFT Quotes That Will Motivate You Toward NFT’S — Quote Poetry</c:v>
                </c:pt>
                <c:pt idx="3">
                  <c:v>Finding the Top Indian News Portals Australia</c:v>
                </c:pt>
                <c:pt idx="4">
                  <c:v>Best AI Tools for Content Creation in 2026: Write, Design &amp; Work Smarter</c:v>
                </c:pt>
              </c:strCache>
            </c:strRef>
          </c:cat>
          <c:val>
            <c:numRef>
              <c:f>Summary!$B$4:$B$8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72192282"/>
        <c:axId val="54766699"/>
      </c:barChart>
      <c:catAx>
        <c:axId val="72192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66699"/>
        <c:crosses val="autoZero"/>
        <c:auto val="1"/>
        <c:lblAlgn val="ctr"/>
        <c:lblOffset val="100"/>
        <c:noMultiLvlLbl val="0"/>
      </c:catAx>
      <c:valAx>
        <c:axId val="54766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92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3</xdr:col>
      <xdr:colOff>276840</xdr:colOff>
      <xdr:row>26</xdr:row>
      <xdr:rowOff>21960</xdr:rowOff>
    </xdr:to>
    <xdr:graphicFrame>
      <xdr:nvGraphicFramePr>
        <xdr:cNvPr id="0" name="Chart 1"/>
        <xdr:cNvGraphicFramePr/>
      </xdr:nvGraphicFramePr>
      <xdr:xfrm>
        <a:off x="0" y="33336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um.com/daiom/accelerating-omnichannel-growth-with-digital-marketing-strategies-75bf0b7fdf94" TargetMode="External"/><Relationship Id="rId2" Type="http://schemas.openxmlformats.org/officeDocument/2006/relationships/hyperlink" Target="https://medium.com/daiom/accelerating-omnichannel-growth-with-digital-marketing-strategies-75bf0b7fdf94" TargetMode="External"/><Relationship Id="rId3" Type="http://schemas.openxmlformats.org/officeDocument/2006/relationships/hyperlink" Target="https://medium.com/tiara-cake/one-of-the-best-working-skincare-care-products-i-own-7e6849682ae0" TargetMode="External"/><Relationship Id="rId4" Type="http://schemas.openxmlformats.org/officeDocument/2006/relationships/hyperlink" Target="https://medium.com/tiara-cake/one-of-the-best-working-skincare-care-products-i-own-7e6849682ae0" TargetMode="External"/><Relationship Id="rId5" Type="http://schemas.openxmlformats.org/officeDocument/2006/relationships/hyperlink" Target="https://medium.com/@quoting/50-nft-quotes-that-will-motivate-you-toward-nfts-quote-poetry-8e146a2a6e90" TargetMode="External"/><Relationship Id="rId6" Type="http://schemas.openxmlformats.org/officeDocument/2006/relationships/hyperlink" Target="https://medium.com/@quoting/50-nft-quotes-that-will-motivate-you-toward-nfts-quote-poetry-8e146a2a6e90" TargetMode="External"/><Relationship Id="rId7" Type="http://schemas.openxmlformats.org/officeDocument/2006/relationships/hyperlink" Target="https://medium.com/@indusage/finding-the-top-indian-news-portals-australia-e18249089081" TargetMode="External"/><Relationship Id="rId8" Type="http://schemas.openxmlformats.org/officeDocument/2006/relationships/hyperlink" Target="https://medium.com/@indusage/finding-the-top-indian-news-portals-australia-e18249089081" TargetMode="External"/><Relationship Id="rId9" Type="http://schemas.openxmlformats.org/officeDocument/2006/relationships/hyperlink" Target="https://medium.com/@linajulie/best-ai-tools-for-content-creation-in-2026-write-design-work-smarter-173c82166fa8" TargetMode="External"/><Relationship Id="rId10" Type="http://schemas.openxmlformats.org/officeDocument/2006/relationships/hyperlink" Target="https://medium.com/@linajulie/best-ai-tools-for-content-creation-in-2026-write-design-work-smarter-173c82166fa8" TargetMode="External"/><Relationship Id="rId1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8" min="8" style="0" width="5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5"/>
      <c r="F4" s="6" t="s">
        <v>5</v>
      </c>
      <c r="G4" s="6"/>
    </row>
    <row r="5" customFormat="false" ht="36" hidden="false" customHeight="true" outlineLevel="0" collapsed="false">
      <c r="A5" s="7" t="n">
        <f aca="false">COUNTA(B9:B18)</f>
        <v>10</v>
      </c>
      <c r="B5" s="7"/>
      <c r="C5" s="8" t="n">
        <f aca="false">COUNTIF(F9:F18,"Yes")</f>
        <v>10</v>
      </c>
      <c r="D5" s="9" t="n">
        <f aca="false">COUNTIF(E9:E18,"No follow")</f>
        <v>10</v>
      </c>
      <c r="E5" s="9"/>
      <c r="F5" s="10" t="n">
        <f aca="false">SUMPRODUCT(1/COUNTIF(H9:H18,H9:H18))</f>
        <v>5</v>
      </c>
      <c r="G5" s="10"/>
    </row>
    <row r="6" customFormat="false" ht="15" hidden="false" customHeight="false" outlineLevel="0" collapsed="false">
      <c r="A6" s="11" t="s">
        <v>6</v>
      </c>
      <c r="B6" s="11"/>
      <c r="C6" s="12" t="s">
        <v>7</v>
      </c>
      <c r="D6" s="13" t="s">
        <v>8</v>
      </c>
      <c r="E6" s="13"/>
      <c r="F6" s="14" t="s">
        <v>9</v>
      </c>
      <c r="G6" s="14"/>
    </row>
    <row r="8" customFormat="false" ht="27.75" hidden="false" customHeight="true" outlineLevel="0" collapsed="false">
      <c r="A8" s="15" t="s">
        <v>10</v>
      </c>
      <c r="B8" s="15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</row>
    <row r="9" customFormat="false" ht="48" hidden="false" customHeight="true" outlineLevel="0" collapsed="false">
      <c r="A9" s="16" t="n">
        <v>1</v>
      </c>
      <c r="B9" s="17" t="s">
        <v>18</v>
      </c>
      <c r="C9" s="17" t="s">
        <v>19</v>
      </c>
      <c r="D9" s="18" t="s">
        <v>20</v>
      </c>
      <c r="E9" s="16" t="s">
        <v>21</v>
      </c>
      <c r="F9" s="16" t="s">
        <v>22</v>
      </c>
      <c r="G9" s="17" t="s">
        <v>23</v>
      </c>
      <c r="H9" s="19" t="s">
        <v>24</v>
      </c>
    </row>
    <row r="10" customFormat="false" ht="48" hidden="false" customHeight="true" outlineLevel="0" collapsed="false">
      <c r="A10" s="16" t="n">
        <v>2</v>
      </c>
      <c r="B10" s="17" t="s">
        <v>25</v>
      </c>
      <c r="C10" s="17" t="s">
        <v>19</v>
      </c>
      <c r="D10" s="18" t="s">
        <v>20</v>
      </c>
      <c r="E10" s="16" t="s">
        <v>21</v>
      </c>
      <c r="F10" s="16" t="s">
        <v>22</v>
      </c>
      <c r="G10" s="17" t="s">
        <v>26</v>
      </c>
      <c r="H10" s="19" t="s">
        <v>24</v>
      </c>
    </row>
    <row r="11" customFormat="false" ht="48" hidden="false" customHeight="true" outlineLevel="0" collapsed="false">
      <c r="A11" s="20" t="n">
        <v>3</v>
      </c>
      <c r="B11" s="21" t="s">
        <v>27</v>
      </c>
      <c r="C11" s="21" t="s">
        <v>28</v>
      </c>
      <c r="D11" s="22" t="s">
        <v>29</v>
      </c>
      <c r="E11" s="20" t="s">
        <v>21</v>
      </c>
      <c r="F11" s="20" t="s">
        <v>22</v>
      </c>
      <c r="G11" s="21" t="s">
        <v>30</v>
      </c>
      <c r="H11" s="23" t="s">
        <v>31</v>
      </c>
    </row>
    <row r="12" customFormat="false" ht="48" hidden="false" customHeight="true" outlineLevel="0" collapsed="false">
      <c r="A12" s="20" t="n">
        <v>4</v>
      </c>
      <c r="B12" s="21" t="s">
        <v>32</v>
      </c>
      <c r="C12" s="21" t="s">
        <v>28</v>
      </c>
      <c r="D12" s="22" t="s">
        <v>33</v>
      </c>
      <c r="E12" s="20" t="s">
        <v>21</v>
      </c>
      <c r="F12" s="20" t="s">
        <v>22</v>
      </c>
      <c r="G12" s="21" t="s">
        <v>34</v>
      </c>
      <c r="H12" s="23" t="s">
        <v>31</v>
      </c>
    </row>
    <row r="13" customFormat="false" ht="48" hidden="false" customHeight="true" outlineLevel="0" collapsed="false">
      <c r="A13" s="16" t="n">
        <v>5</v>
      </c>
      <c r="B13" s="17" t="s">
        <v>35</v>
      </c>
      <c r="C13" s="17" t="s">
        <v>36</v>
      </c>
      <c r="D13" s="18" t="s">
        <v>37</v>
      </c>
      <c r="E13" s="16" t="s">
        <v>21</v>
      </c>
      <c r="F13" s="16" t="s">
        <v>22</v>
      </c>
      <c r="G13" s="17" t="s">
        <v>38</v>
      </c>
      <c r="H13" s="19" t="s">
        <v>39</v>
      </c>
    </row>
    <row r="14" customFormat="false" ht="48" hidden="false" customHeight="true" outlineLevel="0" collapsed="false">
      <c r="A14" s="16" t="n">
        <v>6</v>
      </c>
      <c r="B14" s="17" t="s">
        <v>40</v>
      </c>
      <c r="C14" s="17" t="s">
        <v>36</v>
      </c>
      <c r="D14" s="18" t="s">
        <v>37</v>
      </c>
      <c r="E14" s="16" t="s">
        <v>21</v>
      </c>
      <c r="F14" s="16" t="s">
        <v>22</v>
      </c>
      <c r="G14" s="17" t="s">
        <v>41</v>
      </c>
      <c r="H14" s="19" t="s">
        <v>39</v>
      </c>
    </row>
    <row r="15" customFormat="false" ht="48" hidden="false" customHeight="true" outlineLevel="0" collapsed="false">
      <c r="A15" s="20" t="n">
        <v>7</v>
      </c>
      <c r="B15" s="21" t="s">
        <v>42</v>
      </c>
      <c r="C15" s="21" t="s">
        <v>43</v>
      </c>
      <c r="D15" s="22" t="s">
        <v>44</v>
      </c>
      <c r="E15" s="20" t="s">
        <v>21</v>
      </c>
      <c r="F15" s="20" t="s">
        <v>22</v>
      </c>
      <c r="G15" s="21" t="s">
        <v>45</v>
      </c>
      <c r="H15" s="23" t="s">
        <v>46</v>
      </c>
    </row>
    <row r="16" customFormat="false" ht="48" hidden="false" customHeight="true" outlineLevel="0" collapsed="false">
      <c r="A16" s="20" t="n">
        <v>8</v>
      </c>
      <c r="B16" s="21" t="s">
        <v>47</v>
      </c>
      <c r="C16" s="21" t="s">
        <v>43</v>
      </c>
      <c r="D16" s="22" t="s">
        <v>44</v>
      </c>
      <c r="E16" s="20" t="s">
        <v>21</v>
      </c>
      <c r="F16" s="20" t="s">
        <v>22</v>
      </c>
      <c r="G16" s="21" t="s">
        <v>48</v>
      </c>
      <c r="H16" s="23" t="s">
        <v>46</v>
      </c>
    </row>
    <row r="17" customFormat="false" ht="48" hidden="false" customHeight="true" outlineLevel="0" collapsed="false">
      <c r="A17" s="16" t="n">
        <v>9</v>
      </c>
      <c r="B17" s="17" t="s">
        <v>49</v>
      </c>
      <c r="C17" s="17" t="s">
        <v>50</v>
      </c>
      <c r="D17" s="18" t="s">
        <v>49</v>
      </c>
      <c r="E17" s="16" t="s">
        <v>21</v>
      </c>
      <c r="F17" s="16" t="s">
        <v>22</v>
      </c>
      <c r="G17" s="17" t="s">
        <v>51</v>
      </c>
      <c r="H17" s="19" t="s">
        <v>52</v>
      </c>
    </row>
    <row r="18" customFormat="false" ht="48" hidden="false" customHeight="true" outlineLevel="0" collapsed="false">
      <c r="A18" s="16" t="n">
        <v>10</v>
      </c>
      <c r="B18" s="17" t="s">
        <v>53</v>
      </c>
      <c r="C18" s="17" t="s">
        <v>50</v>
      </c>
      <c r="D18" s="18" t="s">
        <v>54</v>
      </c>
      <c r="E18" s="16" t="s">
        <v>21</v>
      </c>
      <c r="F18" s="16" t="s">
        <v>22</v>
      </c>
      <c r="G18" s="17" t="s">
        <v>55</v>
      </c>
      <c r="H18" s="19" t="s">
        <v>52</v>
      </c>
    </row>
  </sheetData>
  <autoFilter ref="A8:H18"/>
  <mergeCells count="11">
    <mergeCell ref="A1:H1"/>
    <mergeCell ref="A2:H2"/>
    <mergeCell ref="A4:B4"/>
    <mergeCell ref="D4:E4"/>
    <mergeCell ref="F4:G4"/>
    <mergeCell ref="A5:B5"/>
    <mergeCell ref="D5:E5"/>
    <mergeCell ref="F5:G5"/>
    <mergeCell ref="A6:B6"/>
    <mergeCell ref="D6:E6"/>
    <mergeCell ref="F6:G6"/>
  </mergeCells>
  <conditionalFormatting sqref="F9:F18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11">
      <formula>"No"</formula>
    </cfRule>
  </conditionalFormatting>
  <conditionalFormatting sqref="E9:E18">
    <cfRule type="cellIs" priority="4" operator="equal" aboveAverage="0" equalAverage="0" bottom="0" percent="0" rank="0" text="" dxfId="12">
      <formula>"No follow"</formula>
    </cfRule>
    <cfRule type="cellIs" priority="5" operator="equal" aboveAverage="0" equalAverage="0" bottom="0" percent="0" rank="0" text="" dxfId="10">
      <formula>"Dofollow"</formula>
    </cfRule>
  </conditionalFormatting>
  <dataValidations count="2">
    <dataValidation allowBlank="true" errorStyle="stop" operator="between" showDropDown="false" showErrorMessage="false" showInputMessage="false" sqref="F9:F18" type="list">
      <formula1>"Yes,No"</formula1>
      <formula2>0</formula2>
    </dataValidation>
    <dataValidation allowBlank="true" errorStyle="stop" operator="between" showDropDown="false" showErrorMessage="false" showInputMessage="false" sqref="E9:E18" type="list">
      <formula1>"Dofollow,No follow"</formula1>
      <formula2>0</formula2>
    </dataValidation>
  </dataValidations>
  <hyperlinks>
    <hyperlink ref="H9" r:id="rId1" display="https://medium.com/daiom/accelerating-omnichannel-growth-with-digital-marketing-strategies-75bf0b7fdf94"/>
    <hyperlink ref="H10" r:id="rId2" display="https://medium.com/daiom/accelerating-omnichannel-growth-with-digital-marketing-strategies-75bf0b7fdf94"/>
    <hyperlink ref="H11" r:id="rId3" display="https://medium.com/tiara-cake/one-of-the-best-working-skincare-care-products-i-own-7e6849682ae0"/>
    <hyperlink ref="H12" r:id="rId4" display="https://medium.com/tiara-cake/one-of-the-best-working-skincare-care-products-i-own-7e6849682ae0"/>
    <hyperlink ref="H13" r:id="rId5" display="https://medium.com/@quoting/50-nft-quotes-that-will-motivate-you-toward-nfts-quote-poetry-8e146a2a6e90"/>
    <hyperlink ref="H14" r:id="rId6" display="https://medium.com/@quoting/50-nft-quotes-that-will-motivate-you-toward-nfts-quote-poetry-8e146a2a6e90"/>
    <hyperlink ref="H15" r:id="rId7" display="https://medium.com/@indusage/finding-the-top-indian-news-portals-australia-e18249089081"/>
    <hyperlink ref="H16" r:id="rId8" display="https://medium.com/@indusage/finding-the-top-indian-news-portals-australia-e18249089081"/>
    <hyperlink ref="H17" r:id="rId9" display="https://medium.com/@linajulie/best-ai-tools-for-content-creation-in-2026-write-design-work-smarter-173c82166fa8"/>
    <hyperlink ref="H18" r:id="rId10" display="https://medium.com/@linajulie/best-ai-tools-for-content-creation-in-2026-write-design-work-smarter-173c82166fa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3"/>
  </cols>
  <sheetData>
    <row r="1" customFormat="false" ht="30" hidden="false" customHeight="true" outlineLevel="0" collapsed="false">
      <c r="A1" s="24" t="s">
        <v>56</v>
      </c>
      <c r="B1" s="24"/>
      <c r="C1" s="24"/>
      <c r="D1" s="24"/>
      <c r="E1" s="24"/>
    </row>
    <row r="3" customFormat="false" ht="15" hidden="false" customHeight="false" outlineLevel="0" collapsed="false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</row>
    <row r="4" customFormat="false" ht="31.5" hidden="false" customHeight="true" outlineLevel="0" collapsed="false">
      <c r="A4" s="26" t="s">
        <v>19</v>
      </c>
      <c r="B4" s="27" t="n">
        <f aca="false">COUNTIF('Backlink Report'!$H$9:$H$18,"https://medium.com/daiom/accelerating-omnichannel-growth-with-digital-marketing-strategies-75bf0b7fdf94")</f>
        <v>2</v>
      </c>
      <c r="C4" s="27" t="n">
        <f aca="false">COUNTIFS('Backlink Report'!$H$9:$H$18,"https://medium.com/daiom/accelerating-omnichannel-growth-with-digital-marketing-strategies-75bf0b7fdf94",'Backlink Report'!$F$9:$F$18,"Yes")</f>
        <v>2</v>
      </c>
      <c r="D4" s="27" t="n">
        <f aca="false">COUNTIFS('Backlink Report'!$H$9:$H$18,"https://medium.com/daiom/accelerating-omnichannel-growth-with-digital-marketing-strategies-75bf0b7fdf94",'Backlink Report'!$E$9:$E$18,"No follow")</f>
        <v>2</v>
      </c>
      <c r="E4" s="28" t="n">
        <f aca="false">IF(B4=0,0,C4/B4)</f>
        <v>1</v>
      </c>
    </row>
    <row r="5" customFormat="false" ht="31.5" hidden="false" customHeight="true" outlineLevel="0" collapsed="false">
      <c r="A5" s="29" t="s">
        <v>28</v>
      </c>
      <c r="B5" s="30" t="n">
        <f aca="false">COUNTIF('Backlink Report'!$H$9:$H$18,"https://medium.com/tiara-cake/one-of-the-best-working-skincare-care-products-i-own-7e6849682ae0")</f>
        <v>2</v>
      </c>
      <c r="C5" s="30" t="n">
        <f aca="false">COUNTIFS('Backlink Report'!$H$9:$H$18,"https://medium.com/tiara-cake/one-of-the-best-working-skincare-care-products-i-own-7e6849682ae0",'Backlink Report'!$F$9:$F$18,"Yes")</f>
        <v>2</v>
      </c>
      <c r="D5" s="30" t="n">
        <f aca="false">COUNTIFS('Backlink Report'!$H$9:$H$18,"https://medium.com/tiara-cake/one-of-the-best-working-skincare-care-products-i-own-7e6849682ae0",'Backlink Report'!$E$9:$E$18,"No follow")</f>
        <v>2</v>
      </c>
      <c r="E5" s="31" t="n">
        <f aca="false">IF(B5=0,0,C5/B5)</f>
        <v>1</v>
      </c>
    </row>
    <row r="6" customFormat="false" ht="31.5" hidden="false" customHeight="true" outlineLevel="0" collapsed="false">
      <c r="A6" s="26" t="s">
        <v>36</v>
      </c>
      <c r="B6" s="27" t="n">
        <f aca="false">COUNTIF('Backlink Report'!$H$9:$H$18,"https://medium.com/@quoting/50-nft-quotes-that-will-motivate-you-toward-nfts-quote-poetry-8e146a2a6e90")</f>
        <v>2</v>
      </c>
      <c r="C6" s="27" t="n">
        <f aca="false">COUNTIFS('Backlink Report'!$H$9:$H$18,"https://medium.com/@quoting/50-nft-quotes-that-will-motivate-you-toward-nfts-quote-poetry-8e146a2a6e90",'Backlink Report'!$F$9:$F$18,"Yes")</f>
        <v>2</v>
      </c>
      <c r="D6" s="27" t="n">
        <f aca="false">COUNTIFS('Backlink Report'!$H$9:$H$18,"https://medium.com/@quoting/50-nft-quotes-that-will-motivate-you-toward-nfts-quote-poetry-8e146a2a6e90",'Backlink Report'!$E$9:$E$18,"No follow")</f>
        <v>2</v>
      </c>
      <c r="E6" s="28" t="n">
        <f aca="false">IF(B6=0,0,C6/B6)</f>
        <v>1</v>
      </c>
    </row>
    <row r="7" customFormat="false" ht="31.5" hidden="false" customHeight="true" outlineLevel="0" collapsed="false">
      <c r="A7" s="29" t="s">
        <v>43</v>
      </c>
      <c r="B7" s="30" t="n">
        <f aca="false">COUNTIF('Backlink Report'!$H$9:$H$18,"https://medium.com/@indusage/finding-the-top-indian-news-portals-australia-e18249089081")</f>
        <v>2</v>
      </c>
      <c r="C7" s="30" t="n">
        <f aca="false">COUNTIFS('Backlink Report'!$H$9:$H$18,"https://medium.com/@indusage/finding-the-top-indian-news-portals-australia-e18249089081",'Backlink Report'!$F$9:$F$18,"Yes")</f>
        <v>2</v>
      </c>
      <c r="D7" s="30" t="n">
        <f aca="false">COUNTIFS('Backlink Report'!$H$9:$H$18,"https://medium.com/@indusage/finding-the-top-indian-news-portals-australia-e18249089081",'Backlink Report'!$E$9:$E$18,"No follow")</f>
        <v>2</v>
      </c>
      <c r="E7" s="31" t="n">
        <f aca="false">IF(B7=0,0,C7/B7)</f>
        <v>1</v>
      </c>
    </row>
    <row r="8" customFormat="false" ht="31.5" hidden="false" customHeight="true" outlineLevel="0" collapsed="false">
      <c r="A8" s="26" t="s">
        <v>50</v>
      </c>
      <c r="B8" s="27" t="n">
        <f aca="false">COUNTIF('Backlink Report'!$H$9:$H$18,"https://medium.com/@linajulie/best-ai-tools-for-content-creation-in-2026-write-design-work-smarter-173c82166fa8")</f>
        <v>2</v>
      </c>
      <c r="C8" s="27" t="n">
        <f aca="false">COUNTIFS('Backlink Report'!$H$9:$H$18,"https://medium.com/@linajulie/best-ai-tools-for-content-creation-in-2026-write-design-work-smarter-173c82166fa8",'Backlink Report'!$F$9:$F$18,"Yes")</f>
        <v>2</v>
      </c>
      <c r="D8" s="27" t="n">
        <f aca="false">COUNTIFS('Backlink Report'!$H$9:$H$18,"https://medium.com/@linajulie/best-ai-tools-for-content-creation-in-2026-write-design-work-smarter-173c82166fa8",'Backlink Report'!$E$9:$E$18,"No follow")</f>
        <v>2</v>
      </c>
      <c r="E8" s="28" t="n">
        <f aca="false">IF(B8=0,0,C8/B8)</f>
        <v>1</v>
      </c>
    </row>
    <row r="9" customFormat="false" ht="15" hidden="false" customHeight="false" outlineLevel="0" collapsed="false">
      <c r="A9" s="32" t="s">
        <v>62</v>
      </c>
      <c r="B9" s="33" t="n">
        <f aca="false">SUM(B4:B8)</f>
        <v>10</v>
      </c>
      <c r="C9" s="33" t="n">
        <f aca="false">SUM(C4:C8)</f>
        <v>10</v>
      </c>
      <c r="D9" s="33" t="n">
        <f aca="false">SUM(D4:D8)</f>
        <v>10</v>
      </c>
      <c r="E9" s="34" t="n">
        <f aca="false">IF(B9=0,0,C9/B9)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2026-09-28T11:38:06Z</dcterms:created>
  <dc:creator>openpyxl</dc:creator>
  <dc:description/>
  <dc:language>en-US</dc:language>
  <cp:lastModifiedBy/>
  <dcterms:modified xsi:type="dcterms:W3CDTF">2026-09-28T11:38:08Z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