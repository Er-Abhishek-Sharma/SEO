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ink Gap Report" sheetId="1" state="visible" r:id="rId3"/>
    <sheet name="Summary" sheetId="2" state="visible" r:id="rId4"/>
  </sheets>
  <definedNames>
    <definedName function="false" hidden="true" localSheetId="0" name="_xlnm._FilterDatabase" vbProcedure="false">'Backlink Gap Report'!$A$8:$H$37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<sst xmlns="http://schemas.openxmlformats.org/spreadsheetml/2006/main" count="212" uniqueCount="84">
  <si>
    <t xml:space="preserve">Competitor Backlink Gap Report</t>
  </si>
  <si>
    <t xml:space="preserve">Backlink opportunities competitors have earned that we do not currently have</t>
  </si>
  <si>
    <t xml:space="preserve">Total Opportunities</t>
  </si>
  <si>
    <t xml:space="preserve">Winnable (Yes)</t>
  </si>
  <si>
    <t xml:space="preserve">Average DR</t>
  </si>
  <si>
    <t xml:space="preserve">Competitors Analysed</t>
  </si>
  <si>
    <t xml:space="preserve">High-DR (70+)</t>
  </si>
  <si>
    <t xml:space="preserve">Colour key:</t>
  </si>
  <si>
    <t xml:space="preserve">Green = we can get it</t>
  </si>
  <si>
    <t xml:space="preserve">Red = not winnable</t>
  </si>
  <si>
    <t xml:space="preserve">DR shaded red (low) to green (high)</t>
  </si>
  <si>
    <t xml:space="preserve">#</t>
  </si>
  <si>
    <t xml:space="preserve">Competitor</t>
  </si>
  <si>
    <t xml:space="preserve">Linking Domain</t>
  </si>
  <si>
    <t xml:space="preserve">DR</t>
  </si>
  <si>
    <t xml:space="preserve">Link Type</t>
  </si>
  <si>
    <t xml:space="preserve">Can We Get It?</t>
  </si>
  <si>
    <t xml:space="preserve">Notes</t>
  </si>
  <si>
    <t xml:space="preserve">Evidence URL</t>
  </si>
  <si>
    <t xml:space="preserve">Competitor A</t>
  </si>
  <si>
    <t xml:space="preserve">http://nytimes.com/</t>
  </si>
  <si>
    <t xml:space="preserve">Guest Post</t>
  </si>
  <si>
    <t xml:space="preserve">Yes</t>
  </si>
  <si>
    <t xml:space="preserve">Competitor ka educational article published hai</t>
  </si>
  <si>
    <t xml:space="preserve">https://onlinelearningconsortium.org/</t>
  </si>
  <si>
    <t xml:space="preserve">yahoo.com</t>
  </si>
  <si>
    <t xml:space="preserve">—</t>
  </si>
  <si>
    <t xml:space="preserve">https://www.slideshare.net/</t>
  </si>
  <si>
    <t xml:space="preserve">News</t>
  </si>
  <si>
    <t xml:space="preserve">Competitor ka course-related announcement covered hai</t>
  </si>
  <si>
    <t xml:space="preserve">https://www.usnews.com/</t>
  </si>
  <si>
    <t xml:space="preserve">Competitor ka education-related announcement</t>
  </si>
  <si>
    <t xml:space="preserve">https://www.cornell.edu/</t>
  </si>
  <si>
    <t xml:space="preserve">Directory Listing</t>
  </si>
  <si>
    <t xml:space="preserve">Education websites/providers listed</t>
  </si>
  <si>
    <t xml:space="preserve">https://substack.com/</t>
  </si>
  <si>
    <t xml:space="preserve">https://www.coursera.org/</t>
  </si>
  <si>
    <t xml:space="preserve">Product Review</t>
  </si>
  <si>
    <t xml:space="preserve">Competitor's education offering reviewed</t>
  </si>
  <si>
    <t xml:space="preserve">https://www.stanford.edu/</t>
  </si>
  <si>
    <t xml:space="preserve">https://libretexts.org/</t>
  </si>
  <si>
    <t xml:space="preserve">College resources section mein link mila</t>
  </si>
  <si>
    <t xml:space="preserve">Competitor B</t>
  </si>
  <si>
    <t xml:space="preserve">https://ztec100.com</t>
  </si>
  <si>
    <t xml:space="preserve">https://www.mygreatlearning.com/academy</t>
  </si>
  <si>
    <t xml:space="preserve">https://ya.ru</t>
  </si>
  <si>
    <t xml:space="preserve">Career-related contributor content</t>
  </si>
  <si>
    <t xml:space="preserve">https://receivinghelpdesk.com</t>
  </si>
  <si>
    <t xml:space="preserve">Competitor ka educational blog published hai</t>
  </si>
  <si>
    <t xml:space="preserve">https://oppalerts.com</t>
  </si>
  <si>
    <t xml:space="preserve">https://mit.edu</t>
  </si>
  <si>
    <t xml:space="preserve">Resource Page</t>
  </si>
  <si>
    <t xml:space="preserve">Student resources section mein link mila</t>
  </si>
  <si>
    <t xml:space="preserve">https://revenuebase.ai</t>
  </si>
  <si>
    <t xml:space="preserve">Career advice blog ke through backlink</t>
  </si>
  <si>
    <t xml:space="preserve">https://hyring.com</t>
  </si>
  <si>
    <t xml:space="preserve">Career advice contribution</t>
  </si>
  <si>
    <t xml:space="preserve">https://freelancermap.ch</t>
  </si>
  <si>
    <t xml:space="preserve">https://glarity.app</t>
  </si>
  <si>
    <t xml:space="preserve">Education institute directory</t>
  </si>
  <si>
    <t xml:space="preserve">https://bing.com</t>
  </si>
  <si>
    <t xml:space="preserve">Education news coverage</t>
  </si>
  <si>
    <t xml:space="preserve">Competitor C</t>
  </si>
  <si>
    <t xml:space="preserve">https://heavenarticle.com</t>
  </si>
  <si>
    <t xml:space="preserve">https://www.ictacademy.in/pages/skill-development-courses.aspx</t>
  </si>
  <si>
    <t xml:space="preserve">https://growjo.com</t>
  </si>
  <si>
    <t xml:space="preserve">https://getmycell.com</t>
  </si>
  <si>
    <t xml:space="preserve">https://echo3.net</t>
  </si>
  <si>
    <t xml:space="preserve">Competitor mentioned in career news</t>
  </si>
  <si>
    <t xml:space="preserve">https://livechatinc.xyz</t>
  </si>
  <si>
    <t xml:space="preserve">https://planetexim.net</t>
  </si>
  <si>
    <t xml:space="preserve">https://vnurl.info/</t>
  </si>
  <si>
    <t xml:space="preserve">https://wayranks.com</t>
  </si>
  <si>
    <t xml:space="preserve">Career guidance article</t>
  </si>
  <si>
    <t xml:space="preserve">https://acheworry.com</t>
  </si>
  <si>
    <t xml:space="preserve">https://giotyo.com</t>
  </si>
  <si>
    <t xml:space="preserve">Notes: competitor names and domains had stray tabs/spaces removed. yahoo.com had no scheme in the original, so its link now points to http://yahoo.com/. Rows without an Evidence URL show "—".</t>
  </si>
  <si>
    <t xml:space="preserve">Opportunities by Competitor</t>
  </si>
  <si>
    <t xml:space="preserve">Total Links</t>
  </si>
  <si>
    <t xml:space="preserve">Winnable</t>
  </si>
  <si>
    <t xml:space="preserve">Avg DR</t>
  </si>
  <si>
    <t xml:space="preserve">Win %</t>
  </si>
  <si>
    <t xml:space="preserve">Total</t>
  </si>
  <si>
    <t xml:space="preserve">Count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</si>
</sst>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0%"/>
    <numFmt numFmtId="168" formatCode="General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2"/>
      <color rgb="FF2E75B6"/>
      <name val="Arial"/>
      <family val="0"/>
      <charset val="1"/>
    </font>
    <font>
      <b val="true"/>
      <sz val="22"/>
      <color rgb="FF548235"/>
      <name val="Arial"/>
      <family val="0"/>
      <charset val="1"/>
    </font>
    <font>
      <b val="true"/>
      <sz val="22"/>
      <color rgb="FF7030A0"/>
      <name val="Arial"/>
      <family val="0"/>
      <charset val="1"/>
    </font>
    <font>
      <b val="true"/>
      <sz val="22"/>
      <color rgb="FFC55A11"/>
      <name val="Arial"/>
      <family val="0"/>
      <charset val="1"/>
    </font>
    <font>
      <b val="true"/>
      <sz val="22"/>
      <color rgb="FFBF8F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A6A6A6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b val="true"/>
      <sz val="10"/>
      <color rgb="FF7030A0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F81BD"/>
      </patternFill>
    </fill>
    <fill>
      <patternFill patternType="solid">
        <fgColor rgb="FF548235"/>
        <bgColor rgb="FF595959"/>
      </patternFill>
    </fill>
    <fill>
      <patternFill patternType="solid">
        <fgColor rgb="FF7030A0"/>
        <bgColor rgb="FF993366"/>
      </patternFill>
    </fill>
    <fill>
      <patternFill patternType="solid">
        <fgColor rgb="FFC55A11"/>
        <bgColor rgb="FF993300"/>
      </patternFill>
    </fill>
    <fill>
      <patternFill patternType="solid">
        <fgColor rgb="FFBF8F00"/>
        <bgColor rgb="FFC55A11"/>
      </patternFill>
    </fill>
    <fill>
      <patternFill patternType="solid">
        <fgColor rgb="FFF2F2F2"/>
        <bgColor rgb="FFF9F9F9"/>
      </patternFill>
    </fill>
    <fill>
      <patternFill patternType="solid">
        <fgColor rgb="FFC6EFCE"/>
        <bgColor rgb="FFE0E8DA"/>
      </patternFill>
    </fill>
    <fill>
      <patternFill patternType="solid">
        <fgColor rgb="FFFFC7CE"/>
        <bgColor rgb="FFF4E1D4"/>
      </patternFill>
    </fill>
    <fill>
      <patternFill patternType="solid">
        <fgColor rgb="FFFFEB9C"/>
        <bgColor rgb="FFFFF2CC"/>
      </patternFill>
    </fill>
    <fill>
      <patternFill patternType="solid">
        <fgColor rgb="FFD9E6F1"/>
        <bgColor rgb="FFE0E8DA"/>
      </patternFill>
    </fill>
    <fill>
      <patternFill patternType="solid">
        <fgColor rgb="FFE0E8DA"/>
        <bgColor rgb="FFD9E6F1"/>
      </patternFill>
    </fill>
    <fill>
      <patternFill patternType="solid">
        <fgColor rgb="FFF4E1D4"/>
        <bgColor rgb="FFE0E8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0">
    <dxf>
      <fill>
        <patternFill patternType="solid">
          <fgColor rgb="FF2E75B6"/>
          <bgColor rgb="FF000000"/>
        </patternFill>
      </fill>
    </dxf>
    <dxf>
      <fill>
        <patternFill patternType="solid">
          <fgColor rgb="FFD9E6F1"/>
          <bgColor rgb="FF000000"/>
        </patternFill>
      </fill>
    </dxf>
    <dxf>
      <fill>
        <patternFill patternType="solid">
          <fgColor rgb="FFE0E8DA"/>
          <bgColor rgb="FF000000"/>
        </patternFill>
      </fill>
    </dxf>
    <dxf>
      <fill>
        <patternFill patternType="solid">
          <fgColor rgb="FFF4E1D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8C07C"/>
          <bgColor rgb="FF000000"/>
        </patternFill>
      </fill>
    </dxf>
    <dxf>
      <fill>
        <patternFill patternType="solid">
          <fgColor rgb="FF6DC17C"/>
          <bgColor rgb="FF000000"/>
        </patternFill>
      </fill>
    </dxf>
    <dxf>
      <fill>
        <patternFill patternType="solid">
          <fgColor rgb="FF72C37C"/>
          <bgColor rgb="FF000000"/>
        </patternFill>
      </fill>
    </dxf>
    <dxf>
      <fill>
        <patternFill patternType="solid">
          <fgColor rgb="FF7CC67D"/>
          <bgColor rgb="FF000000"/>
        </patternFill>
      </fill>
    </dxf>
    <dxf>
      <fill>
        <patternFill patternType="solid">
          <fgColor rgb="FF9ECF7F"/>
          <bgColor rgb="FF000000"/>
        </patternFill>
      </fill>
    </dxf>
    <dxf>
      <fill>
        <patternFill patternType="solid">
          <fgColor rgb="FFC5DB81"/>
          <bgColor rgb="FF000000"/>
        </patternFill>
      </fill>
    </dxf>
    <dxf>
      <fill>
        <patternFill patternType="solid">
          <fgColor rgb="FFD4DF82"/>
          <bgColor rgb="FF000000"/>
        </patternFill>
      </fill>
    </dxf>
    <dxf>
      <fill>
        <patternFill patternType="solid">
          <fgColor rgb="FFECE683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97E6F"/>
          <bgColor rgb="FF000000"/>
        </patternFill>
      </fill>
    </dxf>
    <dxf>
      <fill>
        <patternFill patternType="solid">
          <fgColor rgb="FFF9816F"/>
          <bgColor rgb="FF000000"/>
        </patternFill>
      </fill>
    </dxf>
    <dxf>
      <fill>
        <patternFill patternType="solid">
          <fgColor rgb="FFF98570"/>
          <bgColor rgb="FF000000"/>
        </patternFill>
      </fill>
    </dxf>
    <dxf>
      <fill>
        <patternFill patternType="solid">
          <fgColor rgb="FFF98C71"/>
          <bgColor rgb="FF000000"/>
        </patternFill>
      </fill>
    </dxf>
    <dxf>
      <fill>
        <patternFill patternType="solid">
          <fgColor rgb="FFFA8F72"/>
          <bgColor rgb="FF000000"/>
        </patternFill>
      </fill>
    </dxf>
    <dxf>
      <fill>
        <patternFill patternType="solid">
          <fgColor rgb="FFFA9373"/>
          <bgColor rgb="FF000000"/>
        </patternFill>
      </fill>
    </dxf>
    <dxf>
      <fill>
        <patternFill patternType="solid">
          <fgColor rgb="FFFA9673"/>
          <bgColor rgb="FF000000"/>
        </patternFill>
      </fill>
    </dxf>
    <dxf>
      <fill>
        <patternFill patternType="solid">
          <fgColor rgb="FFFBA175"/>
          <bgColor rgb="FF000000"/>
        </patternFill>
      </fill>
    </dxf>
    <dxf>
      <fill>
        <patternFill patternType="solid">
          <fgColor rgb="FFFBA877"/>
          <bgColor rgb="FF000000"/>
        </patternFill>
      </fill>
    </dxf>
    <dxf>
      <fill>
        <patternFill patternType="solid">
          <fgColor rgb="FFFBAF78"/>
          <bgColor rgb="FF000000"/>
        </patternFill>
      </fill>
    </dxf>
    <dxf>
      <fill>
        <patternFill patternType="solid">
          <fgColor rgb="FFFDCB7D"/>
          <bgColor rgb="FF000000"/>
        </patternFill>
      </fill>
    </dxf>
    <dxf>
      <fill>
        <patternFill patternType="solid">
          <fgColor rgb="FFFDCE7E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4F81BD"/>
      <rgbColor rgb="FFBFBFBF"/>
      <rgbColor rgb="FF878787"/>
      <rgbColor rgb="FF9999FF"/>
      <rgbColor rgb="FF7030A0"/>
      <rgbColor rgb="FFFFF2CC"/>
      <rgbColor rgb="FFD9E6F1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E0E8DA"/>
      <rgbColor rgb="FFF4E1D4"/>
      <rgbColor rgb="FFF9F9F9"/>
      <rgbColor rgb="FFFFC7CE"/>
      <rgbColor rgb="FF2E75B6"/>
      <rgbColor rgb="FF33CCCC"/>
      <rgbColor rgb="FF99CC00"/>
      <rgbColor rgb="FFFFCC00"/>
      <rgbColor rgb="FFBF8F00"/>
      <rgbColor rgb="FFC55A11"/>
      <rgbColor rgb="FF595959"/>
      <rgbColor rgb="FFA6A6A6"/>
      <rgbColor rgb="FF1F3864"/>
      <rgbColor rgb="FF54823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Opportunities per competitor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Summary!B3</c:f>
              <c:strCache>
                <c:ptCount val="1"/>
                <c:pt idx="0">
                  <c:v>Total Links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Summary!$A$4:$A$6</c:f>
              <c:strCache>
                <c:ptCount val="3"/>
                <c:pt idx="0">
                  <c:v>Competitor A</c:v>
                </c:pt>
                <c:pt idx="1">
                  <c:v>Competitor B</c:v>
                </c:pt>
                <c:pt idx="2">
                  <c:v>Competitor C</c:v>
                </c:pt>
              </c:strCache>
            </c:strRef>
          </c:cat>
          <c:val>
            <c:numRef>
              <c:f>Summary!$B$4:$B$6</c:f>
              <c:numCache>
                <c:formatCode>General</c:formatCode>
                <c:ptCount val="3"/>
                <c:pt idx="0">
                  <c:v>9</c:v>
                </c:pt>
                <c:pt idx="1">
                  <c:v>10</c:v>
                </c:pt>
                <c:pt idx="2">
                  <c:v>10</c:v>
                </c:pt>
              </c:numCache>
            </c:numRef>
          </c:val>
        </c:ser>
        <c:ser>
          <c:idx val="1"/>
          <c:order val="1"/>
          <c:tx>
            <c:strRef>
              <c:f>Summary!C3</c:f>
              <c:strCache>
                <c:ptCount val="1"/>
                <c:pt idx="0">
                  <c:v>Winnable</c:v>
                </c:pt>
              </c:strCache>
            </c:strRef>
          </c:tx>
          <c:spPr>
            <a:solidFill>
              <a:srgbClr val="54823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Summary!$A$4:$A$6</c:f>
              <c:strCache>
                <c:ptCount val="3"/>
                <c:pt idx="0">
                  <c:v>Competitor A</c:v>
                </c:pt>
                <c:pt idx="1">
                  <c:v>Competitor B</c:v>
                </c:pt>
                <c:pt idx="2">
                  <c:v>Competitor C</c:v>
                </c:pt>
              </c:strCache>
            </c:strRef>
          </c:cat>
          <c:val>
            <c:numRef>
              <c:f>Summary!$C$4:$C$6</c:f>
              <c:numCache>
                <c:formatCode>General</c:formatCode>
                <c:ptCount val="3"/>
                <c:pt idx="0">
                  <c:v>9</c:v>
                </c:pt>
                <c:pt idx="1">
                  <c:v>10</c:v>
                </c:pt>
                <c:pt idx="2">
                  <c:v>10</c:v>
                </c:pt>
              </c:numCache>
            </c:numRef>
          </c:val>
        </c:ser>
        <c:gapWidth val="150"/>
        <c:overlap val="0"/>
        <c:axId val="4951308"/>
        <c:axId val="23774844"/>
      </c:barChart>
      <c:catAx>
        <c:axId val="49513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774844"/>
        <c:crosses val="autoZero"/>
        <c:auto val="1"/>
        <c:lblAlgn val="ctr"/>
        <c:lblOffset val="100"/>
        <c:noMultiLvlLbl val="0"/>
      </c:catAx>
      <c:valAx>
        <c:axId val="237748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5130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Link type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Summary!B29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bf8f0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548235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030a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c55a1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Summary!$A$30:$A$34</c:f>
              <c:strCache>
                <c:ptCount val="5"/>
                <c:pt idx="0">
                  <c:v>Guest Post</c:v>
                </c:pt>
                <c:pt idx="1">
                  <c:v>News</c:v>
                </c:pt>
                <c:pt idx="2">
                  <c:v>Directory Listing</c:v>
                </c:pt>
                <c:pt idx="3">
                  <c:v>Product Review</c:v>
                </c:pt>
                <c:pt idx="4">
                  <c:v>Resource Page</c:v>
                </c:pt>
              </c:strCache>
            </c:strRef>
          </c:cat>
          <c:val>
            <c:numRef>
              <c:f>Summary!$B$30:$B$34</c:f>
              <c:numCache>
                <c:formatCode>General</c:formatCode>
                <c:ptCount val="5"/>
                <c:pt idx="0">
                  <c:v>12</c:v>
                </c:pt>
                <c:pt idx="1">
                  <c:v>8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39960</xdr:rowOff>
    </xdr:from>
    <xdr:to>
      <xdr:col>7</xdr:col>
      <xdr:colOff>18000</xdr:colOff>
      <xdr:row>24</xdr:row>
      <xdr:rowOff>51480</xdr:rowOff>
    </xdr:to>
    <xdr:graphicFrame>
      <xdr:nvGraphicFramePr>
        <xdr:cNvPr id="0" name="Chart 1"/>
        <xdr:cNvGraphicFramePr/>
      </xdr:nvGraphicFramePr>
      <xdr:xfrm>
        <a:off x="0" y="2162160"/>
        <a:ext cx="64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8</xdr:row>
      <xdr:rowOff>39960</xdr:rowOff>
    </xdr:from>
    <xdr:to>
      <xdr:col>8</xdr:col>
      <xdr:colOff>347760</xdr:colOff>
      <xdr:row>23</xdr:row>
      <xdr:rowOff>62280</xdr:rowOff>
    </xdr:to>
    <xdr:graphicFrame>
      <xdr:nvGraphicFramePr>
        <xdr:cNvPr id="1" name="Chart 2"/>
        <xdr:cNvGraphicFramePr/>
      </xdr:nvGraphicFramePr>
      <xdr:xfrm>
        <a:off x="3101400" y="216216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nytimes.com/" TargetMode="External"/><Relationship Id="rId2" Type="http://schemas.openxmlformats.org/officeDocument/2006/relationships/hyperlink" Target="https://onlinelearningconsortium.org/" TargetMode="External"/><Relationship Id="rId3" Type="http://schemas.openxmlformats.org/officeDocument/2006/relationships/hyperlink" Target="http://yahoo.com/" TargetMode="External"/><Relationship Id="rId4" Type="http://schemas.openxmlformats.org/officeDocument/2006/relationships/hyperlink" Target="https://www.slideshare.net/" TargetMode="External"/><Relationship Id="rId5" Type="http://schemas.openxmlformats.org/officeDocument/2006/relationships/hyperlink" Target="https://www.usnews.com/" TargetMode="External"/><Relationship Id="rId6" Type="http://schemas.openxmlformats.org/officeDocument/2006/relationships/hyperlink" Target="https://www.cornell.edu/" TargetMode="External"/><Relationship Id="rId7" Type="http://schemas.openxmlformats.org/officeDocument/2006/relationships/hyperlink" Target="https://substack.com/" TargetMode="External"/><Relationship Id="rId8" Type="http://schemas.openxmlformats.org/officeDocument/2006/relationships/hyperlink" Target="https://www.coursera.org/" TargetMode="External"/><Relationship Id="rId9" Type="http://schemas.openxmlformats.org/officeDocument/2006/relationships/hyperlink" Target="https://www.stanford.edu/" TargetMode="External"/><Relationship Id="rId10" Type="http://schemas.openxmlformats.org/officeDocument/2006/relationships/hyperlink" Target="https://libretexts.org/" TargetMode="External"/><Relationship Id="rId11" Type="http://schemas.openxmlformats.org/officeDocument/2006/relationships/hyperlink" Target="https://ztec100.com/" TargetMode="External"/><Relationship Id="rId12" Type="http://schemas.openxmlformats.org/officeDocument/2006/relationships/hyperlink" Target="https://www.mygreatlearning.com/academy" TargetMode="External"/><Relationship Id="rId13" Type="http://schemas.openxmlformats.org/officeDocument/2006/relationships/hyperlink" Target="https://ya.ru/" TargetMode="External"/><Relationship Id="rId14" Type="http://schemas.openxmlformats.org/officeDocument/2006/relationships/hyperlink" Target="https://receivinghelpdesk.com/" TargetMode="External"/><Relationship Id="rId15" Type="http://schemas.openxmlformats.org/officeDocument/2006/relationships/hyperlink" Target="https://oppalerts.com/" TargetMode="External"/><Relationship Id="rId16" Type="http://schemas.openxmlformats.org/officeDocument/2006/relationships/hyperlink" Target="https://mit.edu/" TargetMode="External"/><Relationship Id="rId17" Type="http://schemas.openxmlformats.org/officeDocument/2006/relationships/hyperlink" Target="https://revenuebase.ai/" TargetMode="External"/><Relationship Id="rId18" Type="http://schemas.openxmlformats.org/officeDocument/2006/relationships/hyperlink" Target="https://hyring.com/" TargetMode="External"/><Relationship Id="rId19" Type="http://schemas.openxmlformats.org/officeDocument/2006/relationships/hyperlink" Target="https://freelancermap.ch/" TargetMode="External"/><Relationship Id="rId20" Type="http://schemas.openxmlformats.org/officeDocument/2006/relationships/hyperlink" Target="https://glarity.app/" TargetMode="External"/><Relationship Id="rId21" Type="http://schemas.openxmlformats.org/officeDocument/2006/relationships/hyperlink" Target="https://bing.com/" TargetMode="External"/><Relationship Id="rId22" Type="http://schemas.openxmlformats.org/officeDocument/2006/relationships/hyperlink" Target="https://heavenarticle.com/" TargetMode="External"/><Relationship Id="rId23" Type="http://schemas.openxmlformats.org/officeDocument/2006/relationships/hyperlink" Target="https://www.ictacademy.in/pages/skill-development-courses.aspx" TargetMode="External"/><Relationship Id="rId24" Type="http://schemas.openxmlformats.org/officeDocument/2006/relationships/hyperlink" Target="https://growjo.com/" TargetMode="External"/><Relationship Id="rId25" Type="http://schemas.openxmlformats.org/officeDocument/2006/relationships/hyperlink" Target="https://getmycell.com/" TargetMode="External"/><Relationship Id="rId26" Type="http://schemas.openxmlformats.org/officeDocument/2006/relationships/hyperlink" Target="https://echo3.net/" TargetMode="External"/><Relationship Id="rId27" Type="http://schemas.openxmlformats.org/officeDocument/2006/relationships/hyperlink" Target="https://livechatinc.xyz/" TargetMode="External"/><Relationship Id="rId28" Type="http://schemas.openxmlformats.org/officeDocument/2006/relationships/hyperlink" Target="https://planetexim.net/" TargetMode="External"/><Relationship Id="rId29" Type="http://schemas.openxmlformats.org/officeDocument/2006/relationships/hyperlink" Target="https://vnurl.info/" TargetMode="External"/><Relationship Id="rId30" Type="http://schemas.openxmlformats.org/officeDocument/2006/relationships/hyperlink" Target="https://wayranks.com/" TargetMode="External"/><Relationship Id="rId31" Type="http://schemas.openxmlformats.org/officeDocument/2006/relationships/hyperlink" Target="https://acheworry.com/" TargetMode="External"/><Relationship Id="rId32" Type="http://schemas.openxmlformats.org/officeDocument/2006/relationships/hyperlink" Target="https://giotyo.com/" TargetMode="External"/><Relationship Id="rId33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9"/>
    <col collapsed="false" customWidth="true" hidden="false" outlineLevel="0" max="5" min="5" style="0" width="17"/>
    <col collapsed="false" customWidth="true" hidden="false" outlineLevel="0" max="6" min="6" style="0" width="15"/>
    <col collapsed="false" customWidth="true" hidden="false" outlineLevel="0" max="8" min="7" style="0" width="52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3" t="s">
        <v>2</v>
      </c>
      <c r="B4" s="3"/>
      <c r="C4" s="4" t="s">
        <v>3</v>
      </c>
      <c r="D4" s="5" t="s">
        <v>4</v>
      </c>
      <c r="E4" s="5"/>
      <c r="F4" s="6" t="s">
        <v>5</v>
      </c>
      <c r="G4" s="6"/>
      <c r="H4" s="7" t="s">
        <v>6</v>
      </c>
    </row>
    <row r="5" customFormat="false" ht="36" hidden="false" customHeight="true" outlineLevel="0" collapsed="false">
      <c r="A5" s="8" t="n">
        <f aca="false">COUNTA(C9:C37)</f>
        <v>29</v>
      </c>
      <c r="B5" s="8"/>
      <c r="C5" s="9" t="n">
        <f aca="false">COUNTIF(F9:F37,"Yes")</f>
        <v>29</v>
      </c>
      <c r="D5" s="10" t="n">
        <f aca="false">AVERAGE(D9:D37)</f>
        <v>63.448275862069</v>
      </c>
      <c r="E5" s="10"/>
      <c r="F5" s="11" t="n">
        <f aca="false">SUMPRODUCT(1/COUNTIF(B9:B37,B9:B37))</f>
        <v>3</v>
      </c>
      <c r="G5" s="11"/>
      <c r="H5" s="12" t="n">
        <f aca="false">COUNTIF(D9:D37,"&gt;=70")</f>
        <v>13</v>
      </c>
    </row>
    <row r="6" customFormat="false" ht="15" hidden="false" customHeight="false" outlineLevel="0" collapsed="false">
      <c r="A6" s="13" t="s">
        <v>7</v>
      </c>
      <c r="B6" s="13"/>
      <c r="C6" s="14" t="s">
        <v>8</v>
      </c>
      <c r="D6" s="14"/>
      <c r="E6" s="15" t="s">
        <v>9</v>
      </c>
      <c r="F6" s="15"/>
      <c r="G6" s="16" t="s">
        <v>10</v>
      </c>
      <c r="H6" s="16"/>
    </row>
    <row r="8" customFormat="false" ht="27.75" hidden="false" customHeight="true" outlineLevel="0" collapsed="false">
      <c r="A8" s="17" t="s">
        <v>11</v>
      </c>
      <c r="B8" s="17" t="s">
        <v>12</v>
      </c>
      <c r="C8" s="17" t="s">
        <v>13</v>
      </c>
      <c r="D8" s="17" t="s">
        <v>14</v>
      </c>
      <c r="E8" s="17" t="s">
        <v>15</v>
      </c>
      <c r="F8" s="17" t="s">
        <v>16</v>
      </c>
      <c r="G8" s="17" t="s">
        <v>17</v>
      </c>
      <c r="H8" s="17" t="s">
        <v>18</v>
      </c>
    </row>
    <row r="9" customFormat="false" ht="39.75" hidden="false" customHeight="true" outlineLevel="0" collapsed="false">
      <c r="A9" s="18" t="n">
        <v>1</v>
      </c>
      <c r="B9" s="19" t="s">
        <v>19</v>
      </c>
      <c r="C9" s="20" t="s">
        <v>20</v>
      </c>
      <c r="D9" s="18" t="n">
        <v>74</v>
      </c>
      <c r="E9" s="21" t="s">
        <v>21</v>
      </c>
      <c r="F9" s="22" t="s">
        <v>22</v>
      </c>
      <c r="G9" s="23" t="s">
        <v>23</v>
      </c>
      <c r="H9" s="24" t="s">
        <v>24</v>
      </c>
    </row>
    <row r="10" customFormat="false" ht="39.75" hidden="false" customHeight="true" outlineLevel="0" collapsed="false">
      <c r="A10" s="18" t="n">
        <v>2</v>
      </c>
      <c r="B10" s="19" t="s">
        <v>19</v>
      </c>
      <c r="C10" s="20" t="s">
        <v>25</v>
      </c>
      <c r="D10" s="18" t="n">
        <v>94</v>
      </c>
      <c r="E10" s="21" t="s">
        <v>21</v>
      </c>
      <c r="F10" s="22" t="s">
        <v>22</v>
      </c>
      <c r="G10" s="23" t="s">
        <v>23</v>
      </c>
      <c r="H10" s="25" t="s">
        <v>26</v>
      </c>
    </row>
    <row r="11" customFormat="false" ht="39.75" hidden="false" customHeight="true" outlineLevel="0" collapsed="false">
      <c r="A11" s="18" t="n">
        <v>3</v>
      </c>
      <c r="B11" s="19" t="s">
        <v>19</v>
      </c>
      <c r="C11" s="20" t="s">
        <v>27</v>
      </c>
      <c r="D11" s="18" t="n">
        <v>92</v>
      </c>
      <c r="E11" s="26" t="s">
        <v>28</v>
      </c>
      <c r="F11" s="22" t="s">
        <v>22</v>
      </c>
      <c r="G11" s="23" t="s">
        <v>29</v>
      </c>
      <c r="H11" s="25" t="s">
        <v>26</v>
      </c>
    </row>
    <row r="12" customFormat="false" ht="39.75" hidden="false" customHeight="true" outlineLevel="0" collapsed="false">
      <c r="A12" s="18" t="n">
        <v>4</v>
      </c>
      <c r="B12" s="19" t="s">
        <v>19</v>
      </c>
      <c r="C12" s="20" t="s">
        <v>30</v>
      </c>
      <c r="D12" s="18" t="n">
        <v>91</v>
      </c>
      <c r="E12" s="26" t="s">
        <v>28</v>
      </c>
      <c r="F12" s="22" t="s">
        <v>22</v>
      </c>
      <c r="G12" s="23" t="s">
        <v>31</v>
      </c>
      <c r="H12" s="25" t="s">
        <v>26</v>
      </c>
    </row>
    <row r="13" customFormat="false" ht="39.75" hidden="false" customHeight="true" outlineLevel="0" collapsed="false">
      <c r="A13" s="18" t="n">
        <v>5</v>
      </c>
      <c r="B13" s="19" t="s">
        <v>19</v>
      </c>
      <c r="C13" s="20" t="s">
        <v>32</v>
      </c>
      <c r="D13" s="18" t="n">
        <v>92</v>
      </c>
      <c r="E13" s="27" t="s">
        <v>33</v>
      </c>
      <c r="F13" s="22" t="s">
        <v>22</v>
      </c>
      <c r="G13" s="23" t="s">
        <v>34</v>
      </c>
      <c r="H13" s="25" t="s">
        <v>26</v>
      </c>
    </row>
    <row r="14" customFormat="false" ht="39.75" hidden="false" customHeight="true" outlineLevel="0" collapsed="false">
      <c r="A14" s="18" t="n">
        <v>6</v>
      </c>
      <c r="B14" s="19" t="s">
        <v>19</v>
      </c>
      <c r="C14" s="20" t="s">
        <v>35</v>
      </c>
      <c r="D14" s="18" t="n">
        <v>94</v>
      </c>
      <c r="E14" s="21" t="s">
        <v>21</v>
      </c>
      <c r="F14" s="22" t="s">
        <v>22</v>
      </c>
      <c r="G14" s="23" t="s">
        <v>23</v>
      </c>
      <c r="H14" s="25" t="s">
        <v>26</v>
      </c>
    </row>
    <row r="15" customFormat="false" ht="39.75" hidden="false" customHeight="true" outlineLevel="0" collapsed="false">
      <c r="A15" s="18" t="n">
        <v>7</v>
      </c>
      <c r="B15" s="19" t="s">
        <v>19</v>
      </c>
      <c r="C15" s="20" t="s">
        <v>36</v>
      </c>
      <c r="D15" s="18" t="n">
        <v>91</v>
      </c>
      <c r="E15" s="28" t="s">
        <v>37</v>
      </c>
      <c r="F15" s="22" t="s">
        <v>22</v>
      </c>
      <c r="G15" s="23" t="s">
        <v>38</v>
      </c>
      <c r="H15" s="25" t="s">
        <v>26</v>
      </c>
    </row>
    <row r="16" customFormat="false" ht="39.75" hidden="false" customHeight="true" outlineLevel="0" collapsed="false">
      <c r="A16" s="18" t="n">
        <v>8</v>
      </c>
      <c r="B16" s="19" t="s">
        <v>19</v>
      </c>
      <c r="C16" s="20" t="s">
        <v>39</v>
      </c>
      <c r="D16" s="18" t="n">
        <v>92</v>
      </c>
      <c r="E16" s="27" t="s">
        <v>33</v>
      </c>
      <c r="F16" s="22" t="s">
        <v>22</v>
      </c>
      <c r="G16" s="23" t="s">
        <v>34</v>
      </c>
      <c r="H16" s="25" t="s">
        <v>26</v>
      </c>
    </row>
    <row r="17" customFormat="false" ht="39.75" hidden="false" customHeight="true" outlineLevel="0" collapsed="false">
      <c r="A17" s="18" t="n">
        <v>9</v>
      </c>
      <c r="B17" s="19" t="s">
        <v>19</v>
      </c>
      <c r="C17" s="20" t="s">
        <v>40</v>
      </c>
      <c r="D17" s="18" t="n">
        <v>82</v>
      </c>
      <c r="E17" s="28" t="s">
        <v>37</v>
      </c>
      <c r="F17" s="22" t="s">
        <v>22</v>
      </c>
      <c r="G17" s="23" t="s">
        <v>41</v>
      </c>
      <c r="H17" s="25" t="s">
        <v>26</v>
      </c>
    </row>
    <row r="18" customFormat="false" ht="39.75" hidden="false" customHeight="true" outlineLevel="0" collapsed="false">
      <c r="A18" s="29" t="n">
        <v>10</v>
      </c>
      <c r="B18" s="30" t="s">
        <v>42</v>
      </c>
      <c r="C18" s="31" t="s">
        <v>43</v>
      </c>
      <c r="D18" s="29" t="n">
        <v>62</v>
      </c>
      <c r="E18" s="32" t="s">
        <v>21</v>
      </c>
      <c r="F18" s="33" t="s">
        <v>22</v>
      </c>
      <c r="G18" s="34" t="s">
        <v>23</v>
      </c>
      <c r="H18" s="35" t="s">
        <v>44</v>
      </c>
    </row>
    <row r="19" customFormat="false" ht="39.75" hidden="false" customHeight="true" outlineLevel="0" collapsed="false">
      <c r="A19" s="29" t="n">
        <v>11</v>
      </c>
      <c r="B19" s="30" t="s">
        <v>42</v>
      </c>
      <c r="C19" s="31" t="s">
        <v>45</v>
      </c>
      <c r="D19" s="29" t="n">
        <v>89</v>
      </c>
      <c r="E19" s="32" t="s">
        <v>21</v>
      </c>
      <c r="F19" s="33" t="s">
        <v>22</v>
      </c>
      <c r="G19" s="34" t="s">
        <v>46</v>
      </c>
      <c r="H19" s="36" t="s">
        <v>26</v>
      </c>
    </row>
    <row r="20" customFormat="false" ht="39.75" hidden="false" customHeight="true" outlineLevel="0" collapsed="false">
      <c r="A20" s="29" t="n">
        <v>12</v>
      </c>
      <c r="B20" s="30" t="s">
        <v>42</v>
      </c>
      <c r="C20" s="31" t="s">
        <v>47</v>
      </c>
      <c r="D20" s="29" t="n">
        <v>71</v>
      </c>
      <c r="E20" s="32" t="s">
        <v>21</v>
      </c>
      <c r="F20" s="33" t="s">
        <v>22</v>
      </c>
      <c r="G20" s="34" t="s">
        <v>48</v>
      </c>
      <c r="H20" s="36" t="s">
        <v>26</v>
      </c>
    </row>
    <row r="21" customFormat="false" ht="39.75" hidden="false" customHeight="true" outlineLevel="0" collapsed="false">
      <c r="A21" s="29" t="n">
        <v>13</v>
      </c>
      <c r="B21" s="30" t="s">
        <v>42</v>
      </c>
      <c r="C21" s="31" t="s">
        <v>49</v>
      </c>
      <c r="D21" s="29" t="n">
        <v>32</v>
      </c>
      <c r="E21" s="37" t="s">
        <v>37</v>
      </c>
      <c r="F21" s="33" t="s">
        <v>22</v>
      </c>
      <c r="G21" s="34" t="s">
        <v>38</v>
      </c>
      <c r="H21" s="36" t="s">
        <v>26</v>
      </c>
    </row>
    <row r="22" customFormat="false" ht="39.75" hidden="false" customHeight="true" outlineLevel="0" collapsed="false">
      <c r="A22" s="29" t="n">
        <v>14</v>
      </c>
      <c r="B22" s="30" t="s">
        <v>42</v>
      </c>
      <c r="C22" s="31" t="s">
        <v>50</v>
      </c>
      <c r="D22" s="29" t="n">
        <v>92</v>
      </c>
      <c r="E22" s="38" t="s">
        <v>51</v>
      </c>
      <c r="F22" s="33" t="s">
        <v>22</v>
      </c>
      <c r="G22" s="34" t="s">
        <v>52</v>
      </c>
      <c r="H22" s="36" t="s">
        <v>26</v>
      </c>
    </row>
    <row r="23" customFormat="false" ht="39.75" hidden="false" customHeight="true" outlineLevel="0" collapsed="false">
      <c r="A23" s="29" t="n">
        <v>15</v>
      </c>
      <c r="B23" s="30" t="s">
        <v>42</v>
      </c>
      <c r="C23" s="31" t="s">
        <v>53</v>
      </c>
      <c r="D23" s="29" t="n">
        <v>45</v>
      </c>
      <c r="E23" s="32" t="s">
        <v>21</v>
      </c>
      <c r="F23" s="33" t="s">
        <v>22</v>
      </c>
      <c r="G23" s="34" t="s">
        <v>54</v>
      </c>
      <c r="H23" s="36" t="s">
        <v>26</v>
      </c>
    </row>
    <row r="24" customFormat="false" ht="39.75" hidden="false" customHeight="true" outlineLevel="0" collapsed="false">
      <c r="A24" s="29" t="n">
        <v>16</v>
      </c>
      <c r="B24" s="30" t="s">
        <v>42</v>
      </c>
      <c r="C24" s="31" t="s">
        <v>55</v>
      </c>
      <c r="D24" s="29" t="n">
        <v>36</v>
      </c>
      <c r="E24" s="32" t="s">
        <v>21</v>
      </c>
      <c r="F24" s="33" t="s">
        <v>22</v>
      </c>
      <c r="G24" s="34" t="s">
        <v>56</v>
      </c>
      <c r="H24" s="36" t="s">
        <v>26</v>
      </c>
    </row>
    <row r="25" customFormat="false" ht="39.75" hidden="false" customHeight="true" outlineLevel="0" collapsed="false">
      <c r="A25" s="29" t="n">
        <v>17</v>
      </c>
      <c r="B25" s="30" t="s">
        <v>42</v>
      </c>
      <c r="C25" s="31" t="s">
        <v>57</v>
      </c>
      <c r="D25" s="29" t="n">
        <v>43</v>
      </c>
      <c r="E25" s="32" t="s">
        <v>21</v>
      </c>
      <c r="F25" s="33" t="s">
        <v>22</v>
      </c>
      <c r="G25" s="34" t="s">
        <v>56</v>
      </c>
      <c r="H25" s="36" t="s">
        <v>26</v>
      </c>
    </row>
    <row r="26" customFormat="false" ht="39.75" hidden="false" customHeight="true" outlineLevel="0" collapsed="false">
      <c r="A26" s="29" t="n">
        <v>18</v>
      </c>
      <c r="B26" s="30" t="s">
        <v>42</v>
      </c>
      <c r="C26" s="31" t="s">
        <v>58</v>
      </c>
      <c r="D26" s="29" t="n">
        <v>53</v>
      </c>
      <c r="E26" s="39" t="s">
        <v>33</v>
      </c>
      <c r="F26" s="33" t="s">
        <v>22</v>
      </c>
      <c r="G26" s="34" t="s">
        <v>59</v>
      </c>
      <c r="H26" s="36" t="s">
        <v>26</v>
      </c>
    </row>
    <row r="27" customFormat="false" ht="39.75" hidden="false" customHeight="true" outlineLevel="0" collapsed="false">
      <c r="A27" s="29" t="n">
        <v>19</v>
      </c>
      <c r="B27" s="30" t="s">
        <v>42</v>
      </c>
      <c r="C27" s="31" t="s">
        <v>60</v>
      </c>
      <c r="D27" s="29" t="n">
        <v>93</v>
      </c>
      <c r="E27" s="40" t="s">
        <v>28</v>
      </c>
      <c r="F27" s="33" t="s">
        <v>22</v>
      </c>
      <c r="G27" s="34" t="s">
        <v>61</v>
      </c>
      <c r="H27" s="36" t="s">
        <v>26</v>
      </c>
    </row>
    <row r="28" customFormat="false" ht="39.75" hidden="false" customHeight="true" outlineLevel="0" collapsed="false">
      <c r="A28" s="41" t="n">
        <v>20</v>
      </c>
      <c r="B28" s="42" t="s">
        <v>62</v>
      </c>
      <c r="C28" s="43" t="s">
        <v>63</v>
      </c>
      <c r="D28" s="41" t="n">
        <v>62</v>
      </c>
      <c r="E28" s="44" t="s">
        <v>21</v>
      </c>
      <c r="F28" s="45" t="s">
        <v>22</v>
      </c>
      <c r="G28" s="46" t="s">
        <v>23</v>
      </c>
      <c r="H28" s="47" t="s">
        <v>64</v>
      </c>
    </row>
    <row r="29" customFormat="false" ht="39.75" hidden="false" customHeight="true" outlineLevel="0" collapsed="false">
      <c r="A29" s="41" t="n">
        <v>21</v>
      </c>
      <c r="B29" s="42" t="s">
        <v>62</v>
      </c>
      <c r="C29" s="43" t="s">
        <v>65</v>
      </c>
      <c r="D29" s="41" t="n">
        <v>66</v>
      </c>
      <c r="E29" s="44" t="s">
        <v>21</v>
      </c>
      <c r="F29" s="45" t="s">
        <v>22</v>
      </c>
      <c r="G29" s="46" t="s">
        <v>23</v>
      </c>
      <c r="H29" s="48" t="s">
        <v>26</v>
      </c>
    </row>
    <row r="30" customFormat="false" ht="39.75" hidden="false" customHeight="true" outlineLevel="0" collapsed="false">
      <c r="A30" s="41" t="n">
        <v>22</v>
      </c>
      <c r="B30" s="42" t="s">
        <v>62</v>
      </c>
      <c r="C30" s="43" t="s">
        <v>66</v>
      </c>
      <c r="D30" s="41" t="n">
        <v>41</v>
      </c>
      <c r="E30" s="49" t="s">
        <v>33</v>
      </c>
      <c r="F30" s="45" t="s">
        <v>22</v>
      </c>
      <c r="G30" s="46" t="s">
        <v>59</v>
      </c>
      <c r="H30" s="48" t="s">
        <v>26</v>
      </c>
    </row>
    <row r="31" customFormat="false" ht="39.75" hidden="false" customHeight="true" outlineLevel="0" collapsed="false">
      <c r="A31" s="41" t="n">
        <v>23</v>
      </c>
      <c r="B31" s="42" t="s">
        <v>62</v>
      </c>
      <c r="C31" s="43" t="s">
        <v>67</v>
      </c>
      <c r="D31" s="41" t="n">
        <v>37</v>
      </c>
      <c r="E31" s="50" t="s">
        <v>28</v>
      </c>
      <c r="F31" s="45" t="s">
        <v>22</v>
      </c>
      <c r="G31" s="46" t="s">
        <v>68</v>
      </c>
      <c r="H31" s="48" t="s">
        <v>26</v>
      </c>
    </row>
    <row r="32" customFormat="false" ht="39.75" hidden="false" customHeight="true" outlineLevel="0" collapsed="false">
      <c r="A32" s="41" t="n">
        <v>24</v>
      </c>
      <c r="B32" s="42" t="s">
        <v>62</v>
      </c>
      <c r="C32" s="43" t="s">
        <v>69</v>
      </c>
      <c r="D32" s="41" t="n">
        <v>31</v>
      </c>
      <c r="E32" s="50" t="s">
        <v>28</v>
      </c>
      <c r="F32" s="45" t="s">
        <v>22</v>
      </c>
      <c r="G32" s="46" t="s">
        <v>68</v>
      </c>
      <c r="H32" s="48" t="s">
        <v>26</v>
      </c>
    </row>
    <row r="33" customFormat="false" ht="39.75" hidden="false" customHeight="true" outlineLevel="0" collapsed="false">
      <c r="A33" s="41" t="n">
        <v>25</v>
      </c>
      <c r="B33" s="42" t="s">
        <v>62</v>
      </c>
      <c r="C33" s="43" t="s">
        <v>70</v>
      </c>
      <c r="D33" s="41" t="n">
        <v>25</v>
      </c>
      <c r="E33" s="50" t="s">
        <v>28</v>
      </c>
      <c r="F33" s="45" t="s">
        <v>22</v>
      </c>
      <c r="G33" s="46" t="s">
        <v>68</v>
      </c>
      <c r="H33" s="48" t="s">
        <v>26</v>
      </c>
    </row>
    <row r="34" customFormat="false" ht="39.75" hidden="false" customHeight="true" outlineLevel="0" collapsed="false">
      <c r="A34" s="41" t="n">
        <v>26</v>
      </c>
      <c r="B34" s="42" t="s">
        <v>62</v>
      </c>
      <c r="C34" s="43" t="s">
        <v>71</v>
      </c>
      <c r="D34" s="41" t="n">
        <v>33</v>
      </c>
      <c r="E34" s="49" t="s">
        <v>33</v>
      </c>
      <c r="F34" s="45" t="s">
        <v>22</v>
      </c>
      <c r="G34" s="46" t="s">
        <v>59</v>
      </c>
      <c r="H34" s="48" t="s">
        <v>26</v>
      </c>
    </row>
    <row r="35" customFormat="false" ht="39.75" hidden="false" customHeight="true" outlineLevel="0" collapsed="false">
      <c r="A35" s="41" t="n">
        <v>27</v>
      </c>
      <c r="B35" s="42" t="s">
        <v>62</v>
      </c>
      <c r="C35" s="43" t="s">
        <v>72</v>
      </c>
      <c r="D35" s="41" t="n">
        <v>54</v>
      </c>
      <c r="E35" s="44" t="s">
        <v>21</v>
      </c>
      <c r="F35" s="45" t="s">
        <v>22</v>
      </c>
      <c r="G35" s="46" t="s">
        <v>73</v>
      </c>
      <c r="H35" s="48" t="s">
        <v>26</v>
      </c>
    </row>
    <row r="36" customFormat="false" ht="39.75" hidden="false" customHeight="true" outlineLevel="0" collapsed="false">
      <c r="A36" s="41" t="n">
        <v>28</v>
      </c>
      <c r="B36" s="42" t="s">
        <v>62</v>
      </c>
      <c r="C36" s="43" t="s">
        <v>74</v>
      </c>
      <c r="D36" s="41" t="n">
        <v>38</v>
      </c>
      <c r="E36" s="50" t="s">
        <v>28</v>
      </c>
      <c r="F36" s="45" t="s">
        <v>22</v>
      </c>
      <c r="G36" s="46" t="s">
        <v>61</v>
      </c>
      <c r="H36" s="48" t="s">
        <v>26</v>
      </c>
    </row>
    <row r="37" customFormat="false" ht="39.75" hidden="false" customHeight="true" outlineLevel="0" collapsed="false">
      <c r="A37" s="41" t="n">
        <v>29</v>
      </c>
      <c r="B37" s="42" t="s">
        <v>62</v>
      </c>
      <c r="C37" s="43" t="s">
        <v>75</v>
      </c>
      <c r="D37" s="41" t="n">
        <v>35</v>
      </c>
      <c r="E37" s="50" t="s">
        <v>28</v>
      </c>
      <c r="F37" s="45" t="s">
        <v>22</v>
      </c>
      <c r="G37" s="46" t="s">
        <v>68</v>
      </c>
      <c r="H37" s="48" t="s">
        <v>26</v>
      </c>
    </row>
    <row r="39" customFormat="false" ht="27.75" hidden="false" customHeight="true" outlineLevel="0" collapsed="false">
      <c r="A39" s="51" t="s">
        <v>76</v>
      </c>
      <c r="B39" s="51"/>
      <c r="C39" s="51"/>
      <c r="D39" s="51"/>
      <c r="E39" s="51"/>
      <c r="F39" s="51"/>
      <c r="G39" s="51"/>
      <c r="H39" s="51"/>
    </row>
  </sheetData>
  <autoFilter ref="A8:H37"/>
  <mergeCells count="13">
    <mergeCell ref="A1:H1"/>
    <mergeCell ref="A2:H2"/>
    <mergeCell ref="A4:B4"/>
    <mergeCell ref="D4:E4"/>
    <mergeCell ref="F4:G4"/>
    <mergeCell ref="A5:B5"/>
    <mergeCell ref="D5:E5"/>
    <mergeCell ref="F5:G5"/>
    <mergeCell ref="A6:B6"/>
    <mergeCell ref="C6:D6"/>
    <mergeCell ref="E6:F6"/>
    <mergeCell ref="G6:H6"/>
    <mergeCell ref="A39:H39"/>
  </mergeCells>
  <conditionalFormatting sqref="F9:F37">
    <cfRule type="cellIs" priority="2" operator="equal" aboveAverage="0" equalAverage="0" bottom="0" percent="0" rank="0" text="" dxfId="37">
      <formula>"Yes"</formula>
    </cfRule>
    <cfRule type="cellIs" priority="3" operator="equal" aboveAverage="0" equalAverage="0" bottom="0" percent="0" rank="0" text="" dxfId="38">
      <formula>"No"</formula>
    </cfRule>
  </conditionalFormatting>
  <conditionalFormatting sqref="D9:D37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9:C37">
    <cfRule type="expression" priority="5" aboveAverage="0" equalAverage="0" bottom="0" percent="0" rank="0" text="" dxfId="39">
      <formula>COUNTIF($C$9:$C$37,$C9)&gt;1</formula>
    </cfRule>
  </conditionalFormatting>
  <dataValidations count="1">
    <dataValidation allowBlank="true" errorStyle="stop" operator="between" showDropDown="false" showErrorMessage="false" showInputMessage="false" sqref="F9:F37" type="list">
      <formula1>"Yes,No"</formula1>
      <formula2>0</formula2>
    </dataValidation>
  </dataValidations>
  <hyperlinks>
    <hyperlink ref="C9" r:id="rId1" display="http://nytimes.com/"/>
    <hyperlink ref="H9" r:id="rId2" display="https://onlinelearningconsortium.org/"/>
    <hyperlink ref="C10" r:id="rId3" display="yahoo.com"/>
    <hyperlink ref="C11" r:id="rId4" display="https://www.slideshare.net/"/>
    <hyperlink ref="C12" r:id="rId5" display="https://www.usnews.com/"/>
    <hyperlink ref="C13" r:id="rId6" display="https://www.cornell.edu/"/>
    <hyperlink ref="C14" r:id="rId7" display="https://substack.com/"/>
    <hyperlink ref="C15" r:id="rId8" display="https://www.coursera.org/"/>
    <hyperlink ref="C16" r:id="rId9" display="https://www.stanford.edu/"/>
    <hyperlink ref="C17" r:id="rId10" display="https://libretexts.org/"/>
    <hyperlink ref="C18" r:id="rId11" display="https://ztec100.com"/>
    <hyperlink ref="H18" r:id="rId12" display="https://www.mygreatlearning.com/academy"/>
    <hyperlink ref="C19" r:id="rId13" display="https://ya.ru"/>
    <hyperlink ref="C20" r:id="rId14" display="https://receivinghelpdesk.com"/>
    <hyperlink ref="C21" r:id="rId15" display="https://oppalerts.com"/>
    <hyperlink ref="C22" r:id="rId16" display="https://mit.edu"/>
    <hyperlink ref="C23" r:id="rId17" display="https://revenuebase.ai"/>
    <hyperlink ref="C24" r:id="rId18" display="https://hyring.com"/>
    <hyperlink ref="C25" r:id="rId19" display="https://freelancermap.ch"/>
    <hyperlink ref="C26" r:id="rId20" display="https://glarity.app"/>
    <hyperlink ref="C27" r:id="rId21" display="https://bing.com"/>
    <hyperlink ref="C28" r:id="rId22" display="https://heavenarticle.com"/>
    <hyperlink ref="H28" r:id="rId23" display="https://www.ictacademy.in/pages/skill-development-courses.aspx"/>
    <hyperlink ref="C29" r:id="rId24" display="https://growjo.com"/>
    <hyperlink ref="C30" r:id="rId25" display="https://getmycell.com"/>
    <hyperlink ref="C31" r:id="rId26" display="https://echo3.net"/>
    <hyperlink ref="C32" r:id="rId27" display="https://livechatinc.xyz"/>
    <hyperlink ref="C33" r:id="rId28" display="https://planetexim.net"/>
    <hyperlink ref="C34" r:id="rId29" display="https://vnurl.info/"/>
    <hyperlink ref="C35" r:id="rId30" display="https://wayranks.com"/>
    <hyperlink ref="C36" r:id="rId31" display="https://acheworry.com"/>
    <hyperlink ref="C37" r:id="rId32" display="https://giotyo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3"/>
  </cols>
  <sheetData>
    <row r="1" customFormat="false" ht="30" hidden="false" customHeight="true" outlineLevel="0" collapsed="false">
      <c r="A1" s="52" t="s">
        <v>77</v>
      </c>
      <c r="B1" s="52"/>
      <c r="C1" s="52"/>
      <c r="D1" s="52"/>
      <c r="E1" s="52"/>
      <c r="F1" s="52"/>
    </row>
    <row r="3" customFormat="false" ht="26.85" hidden="false" customHeight="false" outlineLevel="0" collapsed="false">
      <c r="A3" s="53" t="s">
        <v>12</v>
      </c>
      <c r="B3" s="53" t="s">
        <v>78</v>
      </c>
      <c r="C3" s="53" t="s">
        <v>79</v>
      </c>
      <c r="D3" s="53" t="s">
        <v>80</v>
      </c>
      <c r="E3" s="53" t="s">
        <v>6</v>
      </c>
      <c r="F3" s="53" t="s">
        <v>81</v>
      </c>
    </row>
    <row r="4" customFormat="false" ht="21.75" hidden="false" customHeight="true" outlineLevel="0" collapsed="false">
      <c r="A4" s="54" t="s">
        <v>19</v>
      </c>
      <c r="B4" s="18" t="n">
        <f aca="false">COUNTIF('Backlink Gap Report'!$B$9:$B$37,A4)</f>
        <v>9</v>
      </c>
      <c r="C4" s="18" t="n">
        <f aca="false">COUNTIFS('Backlink Gap Report'!$B$9:$B$37,A4,'Backlink Gap Report'!$F$9:$F$37,"Yes")</f>
        <v>9</v>
      </c>
      <c r="D4" s="55" t="n">
        <f aca="false">AVERAGEIF('Backlink Gap Report'!$B$9:$B$37,A4,'Backlink Gap Report'!$D$9:$D$37)</f>
        <v>89.1111111111111</v>
      </c>
      <c r="E4" s="18" t="n">
        <f aca="false">COUNTIFS('Backlink Gap Report'!$B$9:$B$37,A4,'Backlink Gap Report'!$D$9:$D$37,"&gt;=70")</f>
        <v>9</v>
      </c>
      <c r="F4" s="56" t="n">
        <f aca="false">IF(B4=0,0,C4/B4)</f>
        <v>1</v>
      </c>
    </row>
    <row r="5" customFormat="false" ht="21.75" hidden="false" customHeight="true" outlineLevel="0" collapsed="false">
      <c r="A5" s="57" t="s">
        <v>42</v>
      </c>
      <c r="B5" s="29" t="n">
        <f aca="false">COUNTIF('Backlink Gap Report'!$B$9:$B$37,A5)</f>
        <v>10</v>
      </c>
      <c r="C5" s="29" t="n">
        <f aca="false">COUNTIFS('Backlink Gap Report'!$B$9:$B$37,A5,'Backlink Gap Report'!$F$9:$F$37,"Yes")</f>
        <v>10</v>
      </c>
      <c r="D5" s="58" t="n">
        <f aca="false">AVERAGEIF('Backlink Gap Report'!$B$9:$B$37,A5,'Backlink Gap Report'!$D$9:$D$37)</f>
        <v>61.6</v>
      </c>
      <c r="E5" s="29" t="n">
        <f aca="false">COUNTIFS('Backlink Gap Report'!$B$9:$B$37,A5,'Backlink Gap Report'!$D$9:$D$37,"&gt;=70")</f>
        <v>4</v>
      </c>
      <c r="F5" s="59" t="n">
        <f aca="false">IF(B5=0,0,C5/B5)</f>
        <v>1</v>
      </c>
    </row>
    <row r="6" customFormat="false" ht="21.75" hidden="false" customHeight="true" outlineLevel="0" collapsed="false">
      <c r="A6" s="60" t="s">
        <v>62</v>
      </c>
      <c r="B6" s="41" t="n">
        <f aca="false">COUNTIF('Backlink Gap Report'!$B$9:$B$37,A6)</f>
        <v>10</v>
      </c>
      <c r="C6" s="41" t="n">
        <f aca="false">COUNTIFS('Backlink Gap Report'!$B$9:$B$37,A6,'Backlink Gap Report'!$F$9:$F$37,"Yes")</f>
        <v>10</v>
      </c>
      <c r="D6" s="61" t="n">
        <f aca="false">AVERAGEIF('Backlink Gap Report'!$B$9:$B$37,A6,'Backlink Gap Report'!$D$9:$D$37)</f>
        <v>42.2</v>
      </c>
      <c r="E6" s="41" t="n">
        <f aca="false">COUNTIFS('Backlink Gap Report'!$B$9:$B$37,A6,'Backlink Gap Report'!$D$9:$D$37,"&gt;=70")</f>
        <v>0</v>
      </c>
      <c r="F6" s="62" t="n">
        <f aca="false">IF(B6=0,0,C6/B6)</f>
        <v>1</v>
      </c>
    </row>
    <row r="7" customFormat="false" ht="15" hidden="false" customHeight="false" outlineLevel="0" collapsed="false">
      <c r="A7" s="63" t="s">
        <v>82</v>
      </c>
      <c r="B7" s="64" t="n">
        <f aca="false">SUM(B4:B6)</f>
        <v>29</v>
      </c>
      <c r="C7" s="64" t="n">
        <f aca="false">SUM(C4:C6)</f>
        <v>29</v>
      </c>
      <c r="D7" s="65" t="n">
        <f aca="false">AVERAGE('Backlink Gap Report'!D9:D37)</f>
        <v>63.448275862069</v>
      </c>
      <c r="E7" s="64" t="n">
        <f aca="false">SUM(E4:E6)</f>
        <v>13</v>
      </c>
      <c r="F7" s="66" t="n">
        <f aca="false">IF(B7=0,0,C7/B7)</f>
        <v>1</v>
      </c>
    </row>
    <row r="29" customFormat="false" ht="15" hidden="false" customHeight="false" outlineLevel="0" collapsed="false">
      <c r="A29" s="67" t="s">
        <v>15</v>
      </c>
      <c r="B29" s="67" t="s">
        <v>83</v>
      </c>
    </row>
    <row r="30" customFormat="false" ht="15" hidden="false" customHeight="false" outlineLevel="0" collapsed="false">
      <c r="A30" s="0" t="s">
        <v>21</v>
      </c>
      <c r="B30" s="0" t="n">
        <v>12</v>
      </c>
    </row>
    <row r="31" customFormat="false" ht="15" hidden="false" customHeight="false" outlineLevel="0" collapsed="false">
      <c r="A31" s="0" t="s">
        <v>28</v>
      </c>
      <c r="B31" s="0" t="n">
        <v>8</v>
      </c>
    </row>
    <row r="32" customFormat="false" ht="15" hidden="false" customHeight="false" outlineLevel="0" collapsed="false">
      <c r="A32" s="0" t="s">
        <v>33</v>
      </c>
      <c r="B32" s="0" t="n">
        <v>5</v>
      </c>
    </row>
    <row r="33" customFormat="false" ht="15" hidden="false" customHeight="false" outlineLevel="0" collapsed="false">
      <c r="A33" s="0" t="s">
        <v>37</v>
      </c>
      <c r="B33" s="0" t="n">
        <v>3</v>
      </c>
    </row>
    <row r="34" customFormat="false" ht="15" hidden="false" customHeight="false" outlineLevel="0" collapsed="false">
      <c r="A34" s="0" t="s">
        <v>51</v>
      </c>
      <c r="B34" s="0" t="n"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2026-09-29T05:01:57Z</dcterms:created>
  <dc:creator>openpyxl</dc:creator>
  <dc:description/>
  <dc:language>en-US</dc:language>
  <cp:lastModifiedBy/>
  <dcterms:modified xsi:type="dcterms:W3CDTF">2026-09-29T05:01:59Z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