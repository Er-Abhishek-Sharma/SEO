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 Quality Report" sheetId="1" state="visible" r:id="rId3"/>
    <sheet name="Summary" sheetId="2" state="visible" r:id="rId4"/>
  </sheets>
  <definedNames>
    <definedName function="false" hidden="true" localSheetId="0" name="_xlnm._FilterDatabase" vbProcedure="false">'Link Quality Report'!$A$8:$I$30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<sst xmlns="http://schemas.openxmlformats.org/spreadsheetml/2006/main" count="123" uniqueCount="76">
  <si>
    <t xml:space="preserve">Guest Post Link Quality Review</t>
  </si>
  <si>
    <t xml:space="preserve">Websites judged on domain rating (DR), organic traffic, topical relevance and spam signals</t>
  </si>
  <si>
    <t xml:space="preserve">Websites Reviewed</t>
  </si>
  <si>
    <t xml:space="preserve">Accepted</t>
  </si>
  <si>
    <t xml:space="preserve">Rejected</t>
  </si>
  <si>
    <t xml:space="preserve">Average DR</t>
  </si>
  <si>
    <t xml:space="preserve">Acceptance Rate</t>
  </si>
  <si>
    <t xml:space="preserve">Colour key:</t>
  </si>
  <si>
    <t xml:space="preserve">Green = accepted / high value</t>
  </si>
  <si>
    <t xml:space="preserve">Red = rejected / low value</t>
  </si>
  <si>
    <t xml:space="preserve">Orange = duplicate site</t>
  </si>
  <si>
    <t xml:space="preserve">#</t>
  </si>
  <si>
    <t xml:space="preserve">Category</t>
  </si>
  <si>
    <t xml:space="preserve">Website</t>
  </si>
  <si>
    <t xml:space="preserve">DR</t>
  </si>
  <si>
    <t xml:space="preserve">Organic Traffic</t>
  </si>
  <si>
    <t xml:space="preserve">Relevance (1-5)</t>
  </si>
  <si>
    <t xml:space="preserve">Spam Signals</t>
  </si>
  <si>
    <t xml:space="preserve">Decision</t>
  </si>
  <si>
    <t xml:space="preserve">Reason</t>
  </si>
  <si>
    <t xml:space="preserve">Blogging Websites</t>
  </si>
  <si>
    <t xml:space="preserve">https://www.jeffbullas.com/</t>
  </si>
  <si>
    <t xml:space="preserve">Accept</t>
  </si>
  <si>
    <t xml:space="preserve">Established digital-marketing publication with strong topical relevance, a substantial backlink profile, and a long publishing history.</t>
  </si>
  <si>
    <t xml:space="preserve">https://neilpatel.com/blog/</t>
  </si>
  <si>
    <t xml:space="preserve">Extremely strong, established digital-marketing/SEO publication with high authority, broad topical coverage, and active publishing</t>
  </si>
  <si>
    <t xml:space="preserve">https://makewebbetter.com/</t>
  </si>
  <si>
    <t xml:space="preserve">Relevant digital-marketing/eCommerce/SaaS agency site with established content and strong topical alignment.</t>
  </si>
  <si>
    <t xml:space="preserve">https://www.hubspot.com/</t>
  </si>
  <si>
    <t xml:space="preserve">Extremely authoritative marketing/SaaS publication with strong topical relevance, substantial organic visibility, and an established editorial operation</t>
  </si>
  <si>
    <t xml:space="preserve">https://blog.hootsuite.com/</t>
  </si>
  <si>
    <t xml:space="preserve">Highly authoritative social-media marketing publication with strong SEO/digital-marketing relevance and an established editorial operation.</t>
  </si>
  <si>
    <t xml:space="preserve">https://serpapi.com/</t>
  </si>
  <si>
    <t xml:space="preserve">No reason provided</t>
  </si>
  <si>
    <t xml:space="preserve">Business Websites</t>
  </si>
  <si>
    <t xml:space="preserve">https://clutch.co/write-for-us</t>
  </si>
  <si>
    <t xml:space="preserve">Highly authoritative B2B platform with an active contributor program and direct acceptance of SEO, PPC, digital marketing, lead generation, AI, branding and design topics.</t>
  </si>
  <si>
    <t xml:space="preserve">https://empireflippers.com/write-for-us/</t>
  </si>
  <si>
    <t xml:space="preserve">Established online-business/M&amp;A publication with an active, official guest-post program and strong relevance to entrepreneurship, SEO, content marketing, eCommerce, and online businesses.</t>
  </si>
  <si>
    <t xml:space="preserve">https://addicted2success.com/write-for-us/</t>
  </si>
  <si>
    <t xml:space="preserve">Established personal-development and entrepreneurship publication with a live contributor program, but it requires payment for article packages and restricts links to the author bio.</t>
  </si>
  <si>
    <t xml:space="preserve">https://www.allbusiness.com/</t>
  </si>
  <si>
    <t xml:space="preserve">Established small-business publication with a legitimate guest-post program, strong domain authority, and excellent relevance for business, marketing, entrepreneurship, SEO and technology.</t>
  </si>
  <si>
    <t xml:space="preserve">https://hbr.org/guidelines-for-authors</t>
  </si>
  <si>
    <t xml:space="preserve">Exceptional authority and relevance, with an official contributor submission process, but HBR is highly selective and is not a typical guest-post/link-building site.</t>
  </si>
  <si>
    <t xml:space="preserve">Education Websites</t>
  </si>
  <si>
    <t xml:space="preserve">https://empowerly.com/guest-post-program/</t>
  </si>
  <si>
    <t xml:space="preserve">Legitimate education/college-admissions site with an active, free guest-post program and strong organic visibility, but relevance depends heavily on your topic.</t>
  </si>
  <si>
    <t xml:space="preserve">https://lodestar.asu.edu/blog/write-for-us</t>
  </si>
  <si>
    <t xml:space="preserve">Reject</t>
  </si>
  <si>
    <t xml:space="preserve">Legitimate Arizona State University nonprofit publication with a genuine guest-author program, but its editorial scope is specifically the nonprofit and philanthropic sector</t>
  </si>
  <si>
    <t xml:space="preserve">https://www.edutopia.org/about/your-turn-write-us</t>
  </si>
  <si>
    <t xml:space="preserve">Highly legitimate education publication with a genuine contributor program, but its editorial focus is K–12 education and educator experience rather than general digital marketing.</t>
  </si>
  <si>
    <t xml:space="preserve">https://www.topuniversities.com/write-for-us</t>
  </si>
  <si>
    <t xml:space="preserve">Highly authoritative QS education platform, but its current “Write for Us” program is specifically for university students sharing first-hand student experiences.</t>
  </si>
  <si>
    <t xml:space="preserve">https://www.gettingsmart.com/write-for-us/</t>
  </si>
  <si>
    <t xml:space="preserve">Legitimate education publication with an active guest-contributor program, but its editorial focus is strongly centered on innovative learning, K–12/post-secondary education and EdTech</t>
  </si>
  <si>
    <t xml:space="preserve">Marketing Websites</t>
  </si>
  <si>
    <t xml:space="preserve">https://www.cloudways.com/en/write-for-us.php</t>
  </si>
  <si>
    <t xml:space="preserve">Strong SaaS/hosting authority with an active official contributor program, clear editorial standards, and direct relevance to WordPress, WooCommerce, performance, affiliate marketing and web technology.</t>
  </si>
  <si>
    <t xml:space="preserve">https://cxl.com/about/guest-post-guidelines/</t>
  </si>
  <si>
    <t xml:space="preserve">Highly relevant marketing/CRO publication with strong authority, an established contributor history, and a sophisticated editorial standard.</t>
  </si>
  <si>
    <t xml:space="preserve">https://www.bluetuskr.com/guest-blog-posting</t>
  </si>
  <si>
    <t xml:space="preserve">Very strong topical match and a genuine guest-post program, but the site's estimated organic traffic is relatively low.</t>
  </si>
  <si>
    <t xml:space="preserve">https://nethunt.com/blog/write-for-us/</t>
  </si>
  <si>
    <t xml:space="preserve">Strong B2B sales, CRM, marketing and productivity relevance, with an active official guest-post program and clear editorial requirements</t>
  </si>
  <si>
    <t xml:space="preserve">Strong topical match for e-commerce, SEO and digital marketing, with a genuine guest-post program and up to 3 website links allowed</t>
  </si>
  <si>
    <t xml:space="preserve">Uncategorised</t>
  </si>
  <si>
    <t xml:space="preserve">https://issuu.com/home/publisher</t>
  </si>
  <si>
    <t xml:space="preserve">Notes: organic traffic converted from text (e.g. "3.9K") to numbers so it can be sorted; the duplicated site (bluetuskr.com) appears twice with different traffic figures; "No reason provided" marks rows that had an empty Reason.</t>
  </si>
  <si>
    <t xml:space="preserve">Results by Category</t>
  </si>
  <si>
    <t xml:space="preserve">Sites</t>
  </si>
  <si>
    <t xml:space="preserve">Acceptance %</t>
  </si>
  <si>
    <t xml:space="preserve">Avg DR</t>
  </si>
  <si>
    <t xml:space="preserve">Avg Relevance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</si>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</sst>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%"/>
    <numFmt numFmtId="168" formatCode="[&gt;=1000000]0.0,,\M;[&gt;=1000]0.0,\K;0"/>
    <numFmt numFmtId="169" formatCode="0.00"/>
    <numFmt numFmtId="170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7030A0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33C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9C0006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C55A11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  <bgColor rgb="FFE2F0D9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DDEBF7"/>
        <bgColor rgb="FFEDEDED"/>
      </patternFill>
    </fill>
    <fill>
      <patternFill patternType="solid">
        <fgColor rgb="FFE2F0D9"/>
        <bgColor rgb="FFEDEDED"/>
      </patternFill>
    </fill>
    <fill>
      <patternFill patternType="solid">
        <fgColor rgb="FFE9DDF3"/>
        <bgColor rgb="FFEDEDED"/>
      </patternFill>
    </fill>
    <fill>
      <patternFill patternType="solid">
        <fgColor rgb="FFFBE5D6"/>
        <bgColor rgb="FFEDEDED"/>
      </patternFill>
    </fill>
    <fill>
      <patternFill patternType="solid">
        <fgColor rgb="FFC55A11"/>
        <bgColor rgb="FFBF8F00"/>
      </patternFill>
    </fill>
    <fill>
      <patternFill patternType="solid">
        <fgColor rgb="FFEDEDED"/>
        <bgColor rgb="FFF2F2F2"/>
      </patternFill>
    </fill>
    <fill>
      <patternFill patternType="solid">
        <fgColor rgb="FF7F7F7F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9DDF3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F8786E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33C0B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BE5D6"/>
      <rgbColor rgb="FFE9DDF3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878787"/>
      <rgbColor rgb="FF1F3864"/>
      <rgbColor rgb="FF339966"/>
      <rgbColor rgb="FF003300"/>
      <rgbColor rgb="FF333300"/>
      <rgbColor rgb="FF83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Accepted vs Rejected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Blogging Websites</c:v>
                </c:pt>
                <c:pt idx="1">
                  <c:v>Business Websites</c:v>
                </c:pt>
                <c:pt idx="2">
                  <c:v>Education Websites</c:v>
                </c:pt>
                <c:pt idx="3">
                  <c:v>Marketing Websites</c:v>
                </c:pt>
                <c:pt idx="4">
                  <c:v>Uncategorised</c:v>
                </c:pt>
              </c:strCache>
            </c:strRef>
          </c:cat>
          <c:val>
            <c:numRef>
              <c:f>Summary!$C$4:$C$8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Summary!D3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Blogging Websites</c:v>
                </c:pt>
                <c:pt idx="1">
                  <c:v>Business Websites</c:v>
                </c:pt>
                <c:pt idx="2">
                  <c:v>Education Websites</c:v>
                </c:pt>
                <c:pt idx="3">
                  <c:v>Marketing Websites</c:v>
                </c:pt>
                <c:pt idx="4">
                  <c:v>Uncategorised</c:v>
                </c:pt>
              </c:strCache>
            </c:strRef>
          </c:cat>
          <c:val>
            <c:numRef>
              <c:f>Summary!$D$4:$D$8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1806118"/>
        <c:axId val="118339"/>
      </c:barChart>
      <c:catAx>
        <c:axId val="41806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339"/>
        <c:crosses val="autoZero"/>
        <c:auto val="1"/>
        <c:lblAlgn val="ctr"/>
        <c:lblOffset val="100"/>
        <c:noMultiLvlLbl val="0"/>
      </c:catAx>
      <c:valAx>
        <c:axId val="118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061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40320</xdr:rowOff>
    </xdr:from>
    <xdr:to>
      <xdr:col>6</xdr:col>
      <xdr:colOff>65520</xdr:colOff>
      <xdr:row>26</xdr:row>
      <xdr:rowOff>51840</xdr:rowOff>
    </xdr:to>
    <xdr:graphicFrame>
      <xdr:nvGraphicFramePr>
        <xdr:cNvPr id="0" name="Chart 1"/>
        <xdr:cNvGraphicFramePr/>
      </xdr:nvGraphicFramePr>
      <xdr:xfrm>
        <a:off x="0" y="2857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effbullas.com/" TargetMode="External"/><Relationship Id="rId2" Type="http://schemas.openxmlformats.org/officeDocument/2006/relationships/hyperlink" Target="https://neilpatel.com/blog/" TargetMode="External"/><Relationship Id="rId3" Type="http://schemas.openxmlformats.org/officeDocument/2006/relationships/hyperlink" Target="https://makewebbetter.com/" TargetMode="External"/><Relationship Id="rId4" Type="http://schemas.openxmlformats.org/officeDocument/2006/relationships/hyperlink" Target="https://www.hubspot.com/" TargetMode="External"/><Relationship Id="rId5" Type="http://schemas.openxmlformats.org/officeDocument/2006/relationships/hyperlink" Target="https://blog.hootsuite.com/" TargetMode="External"/><Relationship Id="rId6" Type="http://schemas.openxmlformats.org/officeDocument/2006/relationships/hyperlink" Target="https://serpapi.com/" TargetMode="External"/><Relationship Id="rId7" Type="http://schemas.openxmlformats.org/officeDocument/2006/relationships/hyperlink" Target="https://clutch.co/write-for-us" TargetMode="External"/><Relationship Id="rId8" Type="http://schemas.openxmlformats.org/officeDocument/2006/relationships/hyperlink" Target="https://empireflippers.com/write-for-us/" TargetMode="External"/><Relationship Id="rId9" Type="http://schemas.openxmlformats.org/officeDocument/2006/relationships/hyperlink" Target="https://addicted2success.com/write-for-us/" TargetMode="External"/><Relationship Id="rId10" Type="http://schemas.openxmlformats.org/officeDocument/2006/relationships/hyperlink" Target="https://www.allbusiness.com/" TargetMode="External"/><Relationship Id="rId11" Type="http://schemas.openxmlformats.org/officeDocument/2006/relationships/hyperlink" Target="https://hbr.org/guidelines-for-authors" TargetMode="External"/><Relationship Id="rId12" Type="http://schemas.openxmlformats.org/officeDocument/2006/relationships/hyperlink" Target="https://empowerly.com/guest-post-program/" TargetMode="External"/><Relationship Id="rId13" Type="http://schemas.openxmlformats.org/officeDocument/2006/relationships/hyperlink" Target="https://lodestar.asu.edu/blog/write-for-us" TargetMode="External"/><Relationship Id="rId14" Type="http://schemas.openxmlformats.org/officeDocument/2006/relationships/hyperlink" Target="https://www.edutopia.org/about/your-turn-write-us" TargetMode="External"/><Relationship Id="rId15" Type="http://schemas.openxmlformats.org/officeDocument/2006/relationships/hyperlink" Target="https://www.topuniversities.com/write-for-us" TargetMode="External"/><Relationship Id="rId16" Type="http://schemas.openxmlformats.org/officeDocument/2006/relationships/hyperlink" Target="https://www.gettingsmart.com/write-for-us/" TargetMode="External"/><Relationship Id="rId17" Type="http://schemas.openxmlformats.org/officeDocument/2006/relationships/hyperlink" Target="https://www.cloudways.com/en/write-for-us.php" TargetMode="External"/><Relationship Id="rId18" Type="http://schemas.openxmlformats.org/officeDocument/2006/relationships/hyperlink" Target="https://cxl.com/about/guest-post-guidelines/" TargetMode="External"/><Relationship Id="rId19" Type="http://schemas.openxmlformats.org/officeDocument/2006/relationships/hyperlink" Target="https://www.bluetuskr.com/guest-blog-posting" TargetMode="External"/><Relationship Id="rId20" Type="http://schemas.openxmlformats.org/officeDocument/2006/relationships/hyperlink" Target="https://nethunt.com/blog/write-for-us/" TargetMode="External"/><Relationship Id="rId21" Type="http://schemas.openxmlformats.org/officeDocument/2006/relationships/hyperlink" Target="https://www.bluetuskr.com/guest-blog-posting" TargetMode="External"/><Relationship Id="rId22" Type="http://schemas.openxmlformats.org/officeDocument/2006/relationships/hyperlink" Target="https://issuu.com/home/publisher" TargetMode="External"/><Relationship Id="rId2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</v>
      </c>
      <c r="B4" s="3"/>
      <c r="C4" s="4" t="s">
        <v>3</v>
      </c>
      <c r="D4" s="5" t="s">
        <v>4</v>
      </c>
      <c r="E4" s="5"/>
      <c r="F4" s="6" t="s">
        <v>5</v>
      </c>
      <c r="G4" s="6"/>
      <c r="H4" s="7" t="s">
        <v>6</v>
      </c>
      <c r="I4" s="7"/>
    </row>
    <row r="5" customFormat="false" ht="36" hidden="false" customHeight="true" outlineLevel="0" collapsed="false">
      <c r="A5" s="8" t="n">
        <f aca="false">COUNTA(C9:C30)</f>
        <v>22</v>
      </c>
      <c r="B5" s="8"/>
      <c r="C5" s="9" t="n">
        <f aca="false">COUNTIF(H9:H30,"Accept")</f>
        <v>18</v>
      </c>
      <c r="D5" s="10" t="n">
        <f aca="false">COUNTIF(H9:H30,"Reject")</f>
        <v>4</v>
      </c>
      <c r="E5" s="10"/>
      <c r="F5" s="11" t="n">
        <f aca="false">AVERAGE(D9:D30)</f>
        <v>79.4090909090909</v>
      </c>
      <c r="G5" s="11"/>
      <c r="H5" s="12" t="n">
        <f aca="false">IF(A5=0,0,C5/A5)</f>
        <v>0.818181818181818</v>
      </c>
      <c r="I5" s="12"/>
    </row>
    <row r="6" customFormat="false" ht="15" hidden="false" customHeight="false" outlineLevel="0" collapsed="false">
      <c r="A6" s="13" t="s">
        <v>7</v>
      </c>
      <c r="B6" s="13"/>
      <c r="C6" s="14" t="s">
        <v>8</v>
      </c>
      <c r="D6" s="15" t="s">
        <v>9</v>
      </c>
      <c r="E6" s="15"/>
      <c r="F6" s="15"/>
      <c r="G6" s="16" t="s">
        <v>10</v>
      </c>
      <c r="H6" s="16"/>
    </row>
    <row r="8" customFormat="false" ht="30" hidden="false" customHeight="true" outlineLevel="0" collapsed="false">
      <c r="A8" s="17" t="s">
        <v>11</v>
      </c>
      <c r="B8" s="17" t="s">
        <v>12</v>
      </c>
      <c r="C8" s="17" t="s">
        <v>13</v>
      </c>
      <c r="D8" s="17" t="s">
        <v>14</v>
      </c>
      <c r="E8" s="17" t="s">
        <v>15</v>
      </c>
      <c r="F8" s="17" t="s">
        <v>16</v>
      </c>
      <c r="G8" s="17" t="s">
        <v>17</v>
      </c>
      <c r="H8" s="17" t="s">
        <v>18</v>
      </c>
      <c r="I8" s="17" t="s">
        <v>19</v>
      </c>
    </row>
    <row r="9" customFormat="false" ht="43.5" hidden="false" customHeight="true" outlineLevel="0" collapsed="false">
      <c r="A9" s="18" t="n">
        <v>1</v>
      </c>
      <c r="B9" s="19" t="s">
        <v>20</v>
      </c>
      <c r="C9" s="20" t="s">
        <v>21</v>
      </c>
      <c r="D9" s="18" t="n">
        <v>79</v>
      </c>
      <c r="E9" s="21" t="n">
        <v>3900</v>
      </c>
      <c r="F9" s="18" t="n">
        <v>5</v>
      </c>
      <c r="G9" s="22" t="n">
        <v>0.01</v>
      </c>
      <c r="H9" s="23" t="s">
        <v>22</v>
      </c>
      <c r="I9" s="24" t="s">
        <v>23</v>
      </c>
    </row>
    <row r="10" customFormat="false" ht="43.5" hidden="false" customHeight="true" outlineLevel="0" collapsed="false">
      <c r="A10" s="18" t="n">
        <v>2</v>
      </c>
      <c r="B10" s="19" t="s">
        <v>20</v>
      </c>
      <c r="C10" s="20" t="s">
        <v>24</v>
      </c>
      <c r="D10" s="18" t="n">
        <v>91</v>
      </c>
      <c r="E10" s="21" t="n">
        <v>2500</v>
      </c>
      <c r="F10" s="18" t="n">
        <v>5</v>
      </c>
      <c r="G10" s="22" t="n">
        <v>0.01</v>
      </c>
      <c r="H10" s="23" t="s">
        <v>22</v>
      </c>
      <c r="I10" s="24" t="s">
        <v>25</v>
      </c>
    </row>
    <row r="11" customFormat="false" ht="43.5" hidden="false" customHeight="true" outlineLevel="0" collapsed="false">
      <c r="A11" s="18" t="n">
        <v>3</v>
      </c>
      <c r="B11" s="19" t="s">
        <v>20</v>
      </c>
      <c r="C11" s="20" t="s">
        <v>26</v>
      </c>
      <c r="D11" s="18" t="n">
        <v>71</v>
      </c>
      <c r="E11" s="21" t="n">
        <v>2000</v>
      </c>
      <c r="F11" s="18" t="n">
        <v>5</v>
      </c>
      <c r="G11" s="22" t="n">
        <v>0.01</v>
      </c>
      <c r="H11" s="23" t="s">
        <v>22</v>
      </c>
      <c r="I11" s="24" t="s">
        <v>27</v>
      </c>
    </row>
    <row r="12" customFormat="false" ht="43.5" hidden="false" customHeight="true" outlineLevel="0" collapsed="false">
      <c r="A12" s="18" t="n">
        <v>4</v>
      </c>
      <c r="B12" s="19" t="s">
        <v>20</v>
      </c>
      <c r="C12" s="20" t="s">
        <v>28</v>
      </c>
      <c r="D12" s="18" t="n">
        <v>93</v>
      </c>
      <c r="E12" s="21" t="n">
        <v>2000000</v>
      </c>
      <c r="F12" s="18" t="n">
        <v>5</v>
      </c>
      <c r="G12" s="22" t="n">
        <v>0.01</v>
      </c>
      <c r="H12" s="23" t="s">
        <v>22</v>
      </c>
      <c r="I12" s="24" t="s">
        <v>29</v>
      </c>
    </row>
    <row r="13" customFormat="false" ht="43.5" hidden="false" customHeight="true" outlineLevel="0" collapsed="false">
      <c r="A13" s="18" t="n">
        <v>5</v>
      </c>
      <c r="B13" s="19" t="s">
        <v>20</v>
      </c>
      <c r="C13" s="20" t="s">
        <v>30</v>
      </c>
      <c r="D13" s="18" t="n">
        <v>91</v>
      </c>
      <c r="E13" s="21" t="n">
        <v>374800</v>
      </c>
      <c r="F13" s="18" t="n">
        <v>5</v>
      </c>
      <c r="G13" s="22" t="n">
        <v>0.01</v>
      </c>
      <c r="H13" s="23" t="s">
        <v>22</v>
      </c>
      <c r="I13" s="24" t="s">
        <v>31</v>
      </c>
    </row>
    <row r="14" customFormat="false" ht="43.5" hidden="false" customHeight="true" outlineLevel="0" collapsed="false">
      <c r="A14" s="18" t="n">
        <v>6</v>
      </c>
      <c r="B14" s="19" t="s">
        <v>20</v>
      </c>
      <c r="C14" s="20" t="s">
        <v>32</v>
      </c>
      <c r="D14" s="18" t="n">
        <v>79</v>
      </c>
      <c r="E14" s="21" t="n">
        <v>95500</v>
      </c>
      <c r="F14" s="18" t="n">
        <v>4</v>
      </c>
      <c r="G14" s="22" t="n">
        <v>0.01</v>
      </c>
      <c r="H14" s="23" t="s">
        <v>22</v>
      </c>
      <c r="I14" s="25" t="s">
        <v>33</v>
      </c>
    </row>
    <row r="15" customFormat="false" ht="43.5" hidden="false" customHeight="true" outlineLevel="0" collapsed="false">
      <c r="A15" s="26" t="n">
        <v>7</v>
      </c>
      <c r="B15" s="27" t="s">
        <v>34</v>
      </c>
      <c r="C15" s="28" t="s">
        <v>35</v>
      </c>
      <c r="D15" s="26" t="n">
        <v>91</v>
      </c>
      <c r="E15" s="29" t="n">
        <v>536600</v>
      </c>
      <c r="F15" s="26" t="n">
        <v>5</v>
      </c>
      <c r="G15" s="30" t="n">
        <v>0.01</v>
      </c>
      <c r="H15" s="31" t="s">
        <v>22</v>
      </c>
      <c r="I15" s="32" t="s">
        <v>36</v>
      </c>
    </row>
    <row r="16" customFormat="false" ht="43.5" hidden="false" customHeight="true" outlineLevel="0" collapsed="false">
      <c r="A16" s="26" t="n">
        <v>8</v>
      </c>
      <c r="B16" s="27" t="s">
        <v>34</v>
      </c>
      <c r="C16" s="28" t="s">
        <v>37</v>
      </c>
      <c r="D16" s="26" t="n">
        <v>74</v>
      </c>
      <c r="E16" s="29" t="n">
        <v>25600</v>
      </c>
      <c r="F16" s="26" t="n">
        <v>5</v>
      </c>
      <c r="G16" s="30" t="n">
        <v>0.01</v>
      </c>
      <c r="H16" s="31" t="s">
        <v>22</v>
      </c>
      <c r="I16" s="32" t="s">
        <v>38</v>
      </c>
    </row>
    <row r="17" customFormat="false" ht="43.5" hidden="false" customHeight="true" outlineLevel="0" collapsed="false">
      <c r="A17" s="26" t="n">
        <v>9</v>
      </c>
      <c r="B17" s="27" t="s">
        <v>34</v>
      </c>
      <c r="C17" s="28" t="s">
        <v>39</v>
      </c>
      <c r="D17" s="26" t="n">
        <v>69</v>
      </c>
      <c r="E17" s="29" t="n">
        <v>16100</v>
      </c>
      <c r="F17" s="26" t="n">
        <v>4</v>
      </c>
      <c r="G17" s="30" t="n">
        <v>0.01</v>
      </c>
      <c r="H17" s="31" t="s">
        <v>22</v>
      </c>
      <c r="I17" s="32" t="s">
        <v>40</v>
      </c>
    </row>
    <row r="18" customFormat="false" ht="43.5" hidden="false" customHeight="true" outlineLevel="0" collapsed="false">
      <c r="A18" s="26" t="n">
        <v>10</v>
      </c>
      <c r="B18" s="27" t="s">
        <v>34</v>
      </c>
      <c r="C18" s="28" t="s">
        <v>41</v>
      </c>
      <c r="D18" s="26" t="n">
        <v>79</v>
      </c>
      <c r="E18" s="29" t="n">
        <v>18600</v>
      </c>
      <c r="F18" s="26" t="n">
        <v>5</v>
      </c>
      <c r="G18" s="30" t="n">
        <v>0.01</v>
      </c>
      <c r="H18" s="31" t="s">
        <v>22</v>
      </c>
      <c r="I18" s="32" t="s">
        <v>42</v>
      </c>
    </row>
    <row r="19" customFormat="false" ht="43.5" hidden="false" customHeight="true" outlineLevel="0" collapsed="false">
      <c r="A19" s="26" t="n">
        <v>11</v>
      </c>
      <c r="B19" s="27" t="s">
        <v>34</v>
      </c>
      <c r="C19" s="28" t="s">
        <v>43</v>
      </c>
      <c r="D19" s="26" t="n">
        <v>92</v>
      </c>
      <c r="E19" s="29" t="n">
        <v>394800</v>
      </c>
      <c r="F19" s="26" t="n">
        <v>5</v>
      </c>
      <c r="G19" s="30" t="n">
        <v>0.01</v>
      </c>
      <c r="H19" s="31" t="s">
        <v>22</v>
      </c>
      <c r="I19" s="32" t="s">
        <v>44</v>
      </c>
    </row>
    <row r="20" customFormat="false" ht="43.5" hidden="false" customHeight="true" outlineLevel="0" collapsed="false">
      <c r="A20" s="33" t="n">
        <v>12</v>
      </c>
      <c r="B20" s="34" t="s">
        <v>45</v>
      </c>
      <c r="C20" s="35" t="s">
        <v>46</v>
      </c>
      <c r="D20" s="33" t="n">
        <v>57</v>
      </c>
      <c r="E20" s="36" t="n">
        <v>29500</v>
      </c>
      <c r="F20" s="33" t="n">
        <v>3</v>
      </c>
      <c r="G20" s="37" t="n">
        <v>0.01</v>
      </c>
      <c r="H20" s="38" t="s">
        <v>22</v>
      </c>
      <c r="I20" s="39" t="s">
        <v>47</v>
      </c>
    </row>
    <row r="21" customFormat="false" ht="43.5" hidden="false" customHeight="true" outlineLevel="0" collapsed="false">
      <c r="A21" s="33" t="n">
        <v>13</v>
      </c>
      <c r="B21" s="34" t="s">
        <v>45</v>
      </c>
      <c r="C21" s="35" t="s">
        <v>48</v>
      </c>
      <c r="D21" s="33" t="n">
        <v>90</v>
      </c>
      <c r="E21" s="36" t="n">
        <v>7240</v>
      </c>
      <c r="F21" s="33" t="n">
        <v>2</v>
      </c>
      <c r="G21" s="37" t="n">
        <v>0.01</v>
      </c>
      <c r="H21" s="38" t="s">
        <v>49</v>
      </c>
      <c r="I21" s="39" t="s">
        <v>50</v>
      </c>
    </row>
    <row r="22" customFormat="false" ht="43.5" hidden="false" customHeight="true" outlineLevel="0" collapsed="false">
      <c r="A22" s="33" t="n">
        <v>14</v>
      </c>
      <c r="B22" s="34" t="s">
        <v>45</v>
      </c>
      <c r="C22" s="35" t="s">
        <v>51</v>
      </c>
      <c r="D22" s="33" t="n">
        <v>85</v>
      </c>
      <c r="E22" s="36" t="n">
        <v>43600</v>
      </c>
      <c r="F22" s="33" t="n">
        <v>5</v>
      </c>
      <c r="G22" s="37" t="n">
        <v>0.01</v>
      </c>
      <c r="H22" s="38" t="s">
        <v>49</v>
      </c>
      <c r="I22" s="39" t="s">
        <v>52</v>
      </c>
    </row>
    <row r="23" customFormat="false" ht="43.5" hidden="false" customHeight="true" outlineLevel="0" collapsed="false">
      <c r="A23" s="33" t="n">
        <v>15</v>
      </c>
      <c r="B23" s="34" t="s">
        <v>45</v>
      </c>
      <c r="C23" s="35" t="s">
        <v>53</v>
      </c>
      <c r="D23" s="33" t="n">
        <v>84</v>
      </c>
      <c r="E23" s="36" t="n">
        <v>72800</v>
      </c>
      <c r="F23" s="33" t="n">
        <v>2</v>
      </c>
      <c r="G23" s="37" t="n">
        <v>0.01</v>
      </c>
      <c r="H23" s="38" t="s">
        <v>49</v>
      </c>
      <c r="I23" s="39" t="s">
        <v>54</v>
      </c>
    </row>
    <row r="24" customFormat="false" ht="43.5" hidden="false" customHeight="true" outlineLevel="0" collapsed="false">
      <c r="A24" s="33" t="n">
        <v>16</v>
      </c>
      <c r="B24" s="34" t="s">
        <v>45</v>
      </c>
      <c r="C24" s="35" t="s">
        <v>55</v>
      </c>
      <c r="D24" s="33" t="n">
        <v>74</v>
      </c>
      <c r="E24" s="36" t="n">
        <v>22000</v>
      </c>
      <c r="F24" s="33" t="n">
        <v>2</v>
      </c>
      <c r="G24" s="37" t="n">
        <v>0.01</v>
      </c>
      <c r="H24" s="38" t="s">
        <v>49</v>
      </c>
      <c r="I24" s="39" t="s">
        <v>56</v>
      </c>
    </row>
    <row r="25" customFormat="false" ht="43.5" hidden="false" customHeight="true" outlineLevel="0" collapsed="false">
      <c r="A25" s="40" t="n">
        <v>17</v>
      </c>
      <c r="B25" s="41" t="s">
        <v>57</v>
      </c>
      <c r="C25" s="42" t="s">
        <v>58</v>
      </c>
      <c r="D25" s="40" t="n">
        <v>91</v>
      </c>
      <c r="E25" s="43" t="n">
        <v>18000</v>
      </c>
      <c r="F25" s="40" t="n">
        <v>5</v>
      </c>
      <c r="G25" s="44" t="n">
        <v>0.01</v>
      </c>
      <c r="H25" s="45" t="s">
        <v>22</v>
      </c>
      <c r="I25" s="46" t="s">
        <v>59</v>
      </c>
    </row>
    <row r="26" customFormat="false" ht="43.5" hidden="false" customHeight="true" outlineLevel="0" collapsed="false">
      <c r="A26" s="40" t="n">
        <v>18</v>
      </c>
      <c r="B26" s="41" t="s">
        <v>57</v>
      </c>
      <c r="C26" s="42" t="s">
        <v>60</v>
      </c>
      <c r="D26" s="40" t="n">
        <v>85</v>
      </c>
      <c r="E26" s="43" t="n">
        <v>240000</v>
      </c>
      <c r="F26" s="40" t="n">
        <v>5</v>
      </c>
      <c r="G26" s="44" t="n">
        <v>0.01</v>
      </c>
      <c r="H26" s="45" t="s">
        <v>22</v>
      </c>
      <c r="I26" s="46" t="s">
        <v>61</v>
      </c>
    </row>
    <row r="27" customFormat="false" ht="43.5" hidden="false" customHeight="true" outlineLevel="0" collapsed="false">
      <c r="A27" s="40" t="n">
        <v>19</v>
      </c>
      <c r="B27" s="41" t="s">
        <v>57</v>
      </c>
      <c r="C27" s="42" t="s">
        <v>62</v>
      </c>
      <c r="D27" s="40" t="n">
        <v>53</v>
      </c>
      <c r="E27" s="43" t="n">
        <v>72800</v>
      </c>
      <c r="F27" s="40" t="n">
        <v>5</v>
      </c>
      <c r="G27" s="44" t="n">
        <v>0.01</v>
      </c>
      <c r="H27" s="45" t="s">
        <v>22</v>
      </c>
      <c r="I27" s="46" t="s">
        <v>63</v>
      </c>
    </row>
    <row r="28" customFormat="false" ht="43.5" hidden="false" customHeight="true" outlineLevel="0" collapsed="false">
      <c r="A28" s="40" t="n">
        <v>20</v>
      </c>
      <c r="B28" s="41" t="s">
        <v>57</v>
      </c>
      <c r="C28" s="42" t="s">
        <v>64</v>
      </c>
      <c r="D28" s="40" t="n">
        <v>73</v>
      </c>
      <c r="E28" s="43" t="n">
        <v>4500</v>
      </c>
      <c r="F28" s="40" t="n">
        <v>5</v>
      </c>
      <c r="G28" s="44" t="n">
        <v>0.01</v>
      </c>
      <c r="H28" s="45" t="s">
        <v>22</v>
      </c>
      <c r="I28" s="46" t="s">
        <v>65</v>
      </c>
    </row>
    <row r="29" customFormat="false" ht="43.5" hidden="false" customHeight="true" outlineLevel="0" collapsed="false">
      <c r="A29" s="40" t="n">
        <v>21</v>
      </c>
      <c r="B29" s="41" t="s">
        <v>57</v>
      </c>
      <c r="C29" s="42" t="s">
        <v>62</v>
      </c>
      <c r="D29" s="40" t="n">
        <v>53</v>
      </c>
      <c r="E29" s="43" t="n">
        <v>45000</v>
      </c>
      <c r="F29" s="40" t="n">
        <v>5</v>
      </c>
      <c r="G29" s="44" t="n">
        <v>0.01</v>
      </c>
      <c r="H29" s="45" t="s">
        <v>22</v>
      </c>
      <c r="I29" s="46" t="s">
        <v>66</v>
      </c>
    </row>
    <row r="30" customFormat="false" ht="43.5" hidden="false" customHeight="true" outlineLevel="0" collapsed="false">
      <c r="A30" s="47" t="n">
        <v>22</v>
      </c>
      <c r="B30" s="48" t="s">
        <v>67</v>
      </c>
      <c r="C30" s="49" t="s">
        <v>68</v>
      </c>
      <c r="D30" s="47" t="n">
        <v>93</v>
      </c>
      <c r="E30" s="50" t="n">
        <v>483500</v>
      </c>
      <c r="F30" s="47" t="n">
        <v>5</v>
      </c>
      <c r="G30" s="51" t="n">
        <v>0.01</v>
      </c>
      <c r="H30" s="52" t="s">
        <v>22</v>
      </c>
      <c r="I30" s="53" t="s">
        <v>33</v>
      </c>
    </row>
    <row r="32" customFormat="false" ht="27.75" hidden="false" customHeight="true" outlineLevel="0" collapsed="false">
      <c r="A32" s="54" t="s">
        <v>69</v>
      </c>
      <c r="B32" s="54"/>
      <c r="C32" s="54"/>
      <c r="D32" s="54"/>
      <c r="E32" s="54"/>
      <c r="F32" s="54"/>
      <c r="G32" s="54"/>
      <c r="H32" s="54"/>
      <c r="I32" s="54"/>
    </row>
  </sheetData>
  <autoFilter ref="A8:I30"/>
  <mergeCells count="14">
    <mergeCell ref="A1:I1"/>
    <mergeCell ref="A2:I2"/>
    <mergeCell ref="A4:B4"/>
    <mergeCell ref="D4:E4"/>
    <mergeCell ref="F4:G4"/>
    <mergeCell ref="H4:I4"/>
    <mergeCell ref="A5:B5"/>
    <mergeCell ref="D5:E5"/>
    <mergeCell ref="F5:G5"/>
    <mergeCell ref="H5:I5"/>
    <mergeCell ref="A6:B6"/>
    <mergeCell ref="D6:F6"/>
    <mergeCell ref="G6:H6"/>
    <mergeCell ref="A32:I32"/>
  </mergeCells>
  <conditionalFormatting sqref="H9:H30">
    <cfRule type="cellIs" priority="2" operator="equal" aboveAverage="0" equalAverage="0" bottom="0" percent="0" rank="0" text="" dxfId="35">
      <formula>"Accept"</formula>
    </cfRule>
    <cfRule type="cellIs" priority="3" operator="equal" aboveAverage="0" equalAverage="0" bottom="0" percent="0" rank="0" text="" dxfId="36">
      <formula>"Reject"</formula>
    </cfRule>
  </conditionalFormatting>
  <conditionalFormatting sqref="D9:D30">
    <cfRule type="colorScale" priority="4">
      <colorScale>
        <cfvo type="num" val="50"/>
        <cfvo type="num" val="75"/>
        <cfvo type="num" val="95"/>
        <color rgb="FFF8696B"/>
        <color rgb="FFFFEB84"/>
        <color rgb="FF63BE7B"/>
      </colorScale>
    </cfRule>
  </conditionalFormatting>
  <conditionalFormatting sqref="F9:F30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9:E30">
    <cfRule type="dataBar" priority="6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{2BCC3752-D0BB-4031-B4B7-88605C6E8012}</x14:id>
        </ext>
      </extLst>
    </cfRule>
  </conditionalFormatting>
  <conditionalFormatting sqref="C9:C30">
    <cfRule type="expression" priority="7" aboveAverage="0" equalAverage="0" bottom="0" percent="0" rank="0" text="" dxfId="37">
      <formula>COUNTIF($C$9:$C$30,$C9)&gt;1</formula>
    </cfRule>
  </conditionalFormatting>
  <dataValidations count="1">
    <dataValidation allowBlank="true" errorStyle="stop" operator="between" showDropDown="false" showErrorMessage="false" showInputMessage="false" sqref="H9:H30" type="list">
      <formula1>"Accept,Reject"</formula1>
      <formula2>0</formula2>
    </dataValidation>
  </dataValidations>
  <hyperlinks>
    <hyperlink ref="C9" r:id="rId1" display="https://www.jeffbullas.com/"/>
    <hyperlink ref="C10" r:id="rId2" display="https://neilpatel.com/blog/"/>
    <hyperlink ref="C11" r:id="rId3" display="https://makewebbetter.com/"/>
    <hyperlink ref="C12" r:id="rId4" display="https://www.hubspot.com/"/>
    <hyperlink ref="C13" r:id="rId5" display="https://blog.hootsuite.com/"/>
    <hyperlink ref="C14" r:id="rId6" display="https://serpapi.com/"/>
    <hyperlink ref="C15" r:id="rId7" display="https://clutch.co/write-for-us"/>
    <hyperlink ref="C16" r:id="rId8" display="https://empireflippers.com/write-for-us/"/>
    <hyperlink ref="C17" r:id="rId9" display="https://addicted2success.com/write-for-us/"/>
    <hyperlink ref="C18" r:id="rId10" display="https://www.allbusiness.com/"/>
    <hyperlink ref="C19" r:id="rId11" display="https://hbr.org/guidelines-for-authors"/>
    <hyperlink ref="C20" r:id="rId12" display="https://empowerly.com/guest-post-program/"/>
    <hyperlink ref="C21" r:id="rId13" display="https://lodestar.asu.edu/blog/write-for-us"/>
    <hyperlink ref="C22" r:id="rId14" display="https://www.edutopia.org/about/your-turn-write-us"/>
    <hyperlink ref="C23" r:id="rId15" display="https://www.topuniversities.com/write-for-us"/>
    <hyperlink ref="C24" r:id="rId16" display="https://www.gettingsmart.com/write-for-us/"/>
    <hyperlink ref="C25" r:id="rId17" display="https://www.cloudways.com/en/write-for-us.php"/>
    <hyperlink ref="C26" r:id="rId18" display="https://cxl.com/about/guest-post-guidelines/"/>
    <hyperlink ref="C27" r:id="rId19" display="https://www.bluetuskr.com/guest-blog-posting"/>
    <hyperlink ref="C28" r:id="rId20" display="https://nethunt.com/blog/write-for-us/"/>
    <hyperlink ref="C29" r:id="rId21" display="https://www.bluetuskr.com/guest-blog-posting"/>
    <hyperlink ref="C30" r:id="rId22" display="https://issuu.com/home/publish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C3752-D0BB-4031-B4B7-88605C6E8012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E9:E30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</cols>
  <sheetData>
    <row r="1" customFormat="false" ht="30" hidden="false" customHeight="true" outlineLevel="0" collapsed="false">
      <c r="A1" s="55" t="s">
        <v>70</v>
      </c>
      <c r="B1" s="55"/>
      <c r="C1" s="55"/>
      <c r="D1" s="55"/>
      <c r="E1" s="55"/>
      <c r="F1" s="55"/>
      <c r="G1" s="55"/>
    </row>
    <row r="3" customFormat="false" ht="26.85" hidden="false" customHeight="false" outlineLevel="0" collapsed="false">
      <c r="A3" s="56" t="s">
        <v>12</v>
      </c>
      <c r="B3" s="56" t="s">
        <v>71</v>
      </c>
      <c r="C3" s="56" t="s">
        <v>3</v>
      </c>
      <c r="D3" s="56" t="s">
        <v>4</v>
      </c>
      <c r="E3" s="56" t="s">
        <v>72</v>
      </c>
      <c r="F3" s="56" t="s">
        <v>73</v>
      </c>
      <c r="G3" s="56" t="s">
        <v>74</v>
      </c>
    </row>
    <row r="4" customFormat="false" ht="24" hidden="false" customHeight="true" outlineLevel="0" collapsed="false">
      <c r="A4" s="57" t="s">
        <v>20</v>
      </c>
      <c r="B4" s="18" t="n">
        <f aca="false">COUNTIF('Link Quality Report'!$B$9:$B$30,A4)</f>
        <v>6</v>
      </c>
      <c r="C4" s="18" t="n">
        <f aca="false">COUNTIFS('Link Quality Report'!$B$9:$B$30,A4,'Link Quality Report'!$H$9:$H$30,"Accept")</f>
        <v>6</v>
      </c>
      <c r="D4" s="18" t="n">
        <f aca="false">COUNTIFS('Link Quality Report'!$B$9:$B$30,A4,'Link Quality Report'!$H$9:$H$30,"Reject")</f>
        <v>0</v>
      </c>
      <c r="E4" s="58" t="n">
        <f aca="false">IF(B4=0,0,C4/B4)</f>
        <v>1</v>
      </c>
      <c r="F4" s="59" t="n">
        <f aca="false">AVERAGEIF('Link Quality Report'!$B$9:$B$30,A4,'Link Quality Report'!$D$9:$D$30)</f>
        <v>84</v>
      </c>
      <c r="G4" s="59" t="n">
        <f aca="false">AVERAGEIF('Link Quality Report'!$B$9:$B$30,A4,'Link Quality Report'!$F$9:$F$30)</f>
        <v>4.83333333333333</v>
      </c>
    </row>
    <row r="5" customFormat="false" ht="24" hidden="false" customHeight="true" outlineLevel="0" collapsed="false">
      <c r="A5" s="60" t="s">
        <v>34</v>
      </c>
      <c r="B5" s="26" t="n">
        <f aca="false">COUNTIF('Link Quality Report'!$B$9:$B$30,A5)</f>
        <v>5</v>
      </c>
      <c r="C5" s="26" t="n">
        <f aca="false">COUNTIFS('Link Quality Report'!$B$9:$B$30,A5,'Link Quality Report'!$H$9:$H$30,"Accept")</f>
        <v>5</v>
      </c>
      <c r="D5" s="26" t="n">
        <f aca="false">COUNTIFS('Link Quality Report'!$B$9:$B$30,A5,'Link Quality Report'!$H$9:$H$30,"Reject")</f>
        <v>0</v>
      </c>
      <c r="E5" s="61" t="n">
        <f aca="false">IF(B5=0,0,C5/B5)</f>
        <v>1</v>
      </c>
      <c r="F5" s="62" t="n">
        <f aca="false">AVERAGEIF('Link Quality Report'!$B$9:$B$30,A5,'Link Quality Report'!$D$9:$D$30)</f>
        <v>81</v>
      </c>
      <c r="G5" s="62" t="n">
        <f aca="false">AVERAGEIF('Link Quality Report'!$B$9:$B$30,A5,'Link Quality Report'!$F$9:$F$30)</f>
        <v>4.8</v>
      </c>
    </row>
    <row r="6" customFormat="false" ht="24" hidden="false" customHeight="true" outlineLevel="0" collapsed="false">
      <c r="A6" s="63" t="s">
        <v>45</v>
      </c>
      <c r="B6" s="33" t="n">
        <f aca="false">COUNTIF('Link Quality Report'!$B$9:$B$30,A6)</f>
        <v>5</v>
      </c>
      <c r="C6" s="33" t="n">
        <f aca="false">COUNTIFS('Link Quality Report'!$B$9:$B$30,A6,'Link Quality Report'!$H$9:$H$30,"Accept")</f>
        <v>1</v>
      </c>
      <c r="D6" s="33" t="n">
        <f aca="false">COUNTIFS('Link Quality Report'!$B$9:$B$30,A6,'Link Quality Report'!$H$9:$H$30,"Reject")</f>
        <v>4</v>
      </c>
      <c r="E6" s="64" t="n">
        <f aca="false">IF(B6=0,0,C6/B6)</f>
        <v>0.2</v>
      </c>
      <c r="F6" s="65" t="n">
        <f aca="false">AVERAGEIF('Link Quality Report'!$B$9:$B$30,A6,'Link Quality Report'!$D$9:$D$30)</f>
        <v>78</v>
      </c>
      <c r="G6" s="65" t="n">
        <f aca="false">AVERAGEIF('Link Quality Report'!$B$9:$B$30,A6,'Link Quality Report'!$F$9:$F$30)</f>
        <v>2.8</v>
      </c>
    </row>
    <row r="7" customFormat="false" ht="24" hidden="false" customHeight="true" outlineLevel="0" collapsed="false">
      <c r="A7" s="66" t="s">
        <v>57</v>
      </c>
      <c r="B7" s="40" t="n">
        <f aca="false">COUNTIF('Link Quality Report'!$B$9:$B$30,A7)</f>
        <v>5</v>
      </c>
      <c r="C7" s="40" t="n">
        <f aca="false">COUNTIFS('Link Quality Report'!$B$9:$B$30,A7,'Link Quality Report'!$H$9:$H$30,"Accept")</f>
        <v>5</v>
      </c>
      <c r="D7" s="40" t="n">
        <f aca="false">COUNTIFS('Link Quality Report'!$B$9:$B$30,A7,'Link Quality Report'!$H$9:$H$30,"Reject")</f>
        <v>0</v>
      </c>
      <c r="E7" s="67" t="n">
        <f aca="false">IF(B7=0,0,C7/B7)</f>
        <v>1</v>
      </c>
      <c r="F7" s="68" t="n">
        <f aca="false">AVERAGEIF('Link Quality Report'!$B$9:$B$30,A7,'Link Quality Report'!$D$9:$D$30)</f>
        <v>71</v>
      </c>
      <c r="G7" s="68" t="n">
        <f aca="false">AVERAGEIF('Link Quality Report'!$B$9:$B$30,A7,'Link Quality Report'!$F$9:$F$30)</f>
        <v>5</v>
      </c>
    </row>
    <row r="8" customFormat="false" ht="24" hidden="false" customHeight="true" outlineLevel="0" collapsed="false">
      <c r="A8" s="69" t="s">
        <v>67</v>
      </c>
      <c r="B8" s="47" t="n">
        <f aca="false">COUNTIF('Link Quality Report'!$B$9:$B$30,A8)</f>
        <v>1</v>
      </c>
      <c r="C8" s="47" t="n">
        <f aca="false">COUNTIFS('Link Quality Report'!$B$9:$B$30,A8,'Link Quality Report'!$H$9:$H$30,"Accept")</f>
        <v>1</v>
      </c>
      <c r="D8" s="47" t="n">
        <f aca="false">COUNTIFS('Link Quality Report'!$B$9:$B$30,A8,'Link Quality Report'!$H$9:$H$30,"Reject")</f>
        <v>0</v>
      </c>
      <c r="E8" s="70" t="n">
        <f aca="false">IF(B8=0,0,C8/B8)</f>
        <v>1</v>
      </c>
      <c r="F8" s="71" t="n">
        <f aca="false">AVERAGEIF('Link Quality Report'!$B$9:$B$30,A8,'Link Quality Report'!$D$9:$D$30)</f>
        <v>93</v>
      </c>
      <c r="G8" s="71" t="n">
        <f aca="false">AVERAGEIF('Link Quality Report'!$B$9:$B$30,A8,'Link Quality Report'!$F$9:$F$30)</f>
        <v>5</v>
      </c>
    </row>
    <row r="9" customFormat="false" ht="15" hidden="false" customHeight="false" outlineLevel="0" collapsed="false">
      <c r="A9" s="72" t="s">
        <v>75</v>
      </c>
      <c r="B9" s="73" t="n">
        <f aca="false">SUM(B4:B8)</f>
        <v>22</v>
      </c>
      <c r="C9" s="73" t="n">
        <f aca="false">SUM(C4:C8)</f>
        <v>18</v>
      </c>
      <c r="D9" s="73" t="n">
        <f aca="false">SUM(D4:D8)</f>
        <v>4</v>
      </c>
      <c r="E9" s="74" t="n">
        <f aca="false">IF(B9=0,0,C9/B9)</f>
        <v>0.818181818181818</v>
      </c>
      <c r="F9" s="75" t="n">
        <f aca="false">AVERAGE('Link Quality Report'!D9:D30)</f>
        <v>79.4090909090909</v>
      </c>
      <c r="G9" s="75" t="n">
        <f aca="false">AVERAGE('Link Quality Report'!F9:F30)</f>
        <v>4.40909090909091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2026-09-28T11:42:22Z</dcterms:created>
  <dc:creator>openpyxl</dc:creator>
  <dc:description/>
  <dc:language>en-US</dc:language>
  <cp:lastModifiedBy/>
  <dcterms:modified xsi:type="dcterms:W3CDTF">2026-09-28T11:42:24Z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